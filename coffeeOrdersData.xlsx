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fatim\Downloads\"/>
    </mc:Choice>
  </mc:AlternateContent>
  <xr:revisionPtr revIDLastSave="0" documentId="13_ncr:1_{ED9145D8-BEB9-490C-8387-32F00CD2502D}" xr6:coauthVersionLast="47" xr6:coauthVersionMax="47" xr10:uidLastSave="{00000000-0000-0000-0000-000000000000}"/>
  <bookViews>
    <workbookView showSheetTabs="0" xWindow="-108" yWindow="-108" windowWidth="23256" windowHeight="13896" firstSheet="2" activeTab="6" xr2:uid="{00000000-000D-0000-FFFF-FFFF00000000}"/>
  </bookViews>
  <sheets>
    <sheet name="CountryBarChart" sheetId="19" r:id="rId1"/>
    <sheet name="Total Sales" sheetId="18" r:id="rId2"/>
    <sheet name="orders" sheetId="17" r:id="rId3"/>
    <sheet name="customers" sheetId="13" r:id="rId4"/>
    <sheet name="products" sheetId="2" r:id="rId5"/>
    <sheet name="Top 5 Customers" sheetId="20" r:id="rId6"/>
    <sheet name="Dashboard" sheetId="22" r:id="rId7"/>
  </sheets>
  <definedNames>
    <definedName name="_xlnm._FilterDatabase" localSheetId="2" hidden="1">orders!$A$1:$M$1001</definedName>
    <definedName name="_xlnm._FilterDatabase" localSheetId="4"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125" i="17"/>
  <c r="O272" i="17"/>
  <c r="O366" i="17"/>
  <c r="O444" i="17"/>
  <c r="O542" i="17"/>
  <c r="N2" i="17"/>
  <c r="M4" i="17"/>
  <c r="M397" i="17"/>
  <c r="M407" i="17"/>
  <c r="M806" i="17"/>
  <c r="M891" i="17"/>
  <c r="M922" i="17"/>
  <c r="I2" i="17"/>
  <c r="I3" i="17"/>
  <c r="N3" i="17" s="1"/>
  <c r="J3" i="17"/>
  <c r="O3" i="17" s="1"/>
  <c r="K3" i="17"/>
  <c r="L3" i="17"/>
  <c r="M3" i="17" s="1"/>
  <c r="I4" i="17"/>
  <c r="N4" i="17" s="1"/>
  <c r="J4" i="17"/>
  <c r="O4" i="17" s="1"/>
  <c r="K4" i="17"/>
  <c r="L4" i="17"/>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a="1"/>
  <c r="F3" i="17" s="1"/>
  <c r="F4" i="17" a="1"/>
  <c r="F4" i="17" s="1"/>
  <c r="F5" i="17" a="1"/>
  <c r="F5" i="17" s="1"/>
  <c r="F6" i="17" a="1"/>
  <c r="F6" i="17"/>
  <c r="F7" i="17" a="1"/>
  <c r="F7" i="17" s="1"/>
  <c r="F8" i="17" a="1"/>
  <c r="F8" i="17" s="1"/>
  <c r="F9" i="17" a="1"/>
  <c r="F9" i="17" s="1"/>
  <c r="F10" i="17" a="1"/>
  <c r="F10" i="17"/>
  <c r="F11" i="17" a="1"/>
  <c r="F11" i="17" s="1"/>
  <c r="F12" i="17" a="1"/>
  <c r="F12" i="17"/>
  <c r="F13" i="17" a="1"/>
  <c r="F13" i="17"/>
  <c r="F14" i="17" a="1"/>
  <c r="F14" i="17"/>
  <c r="F15" i="17" a="1"/>
  <c r="F15" i="17" s="1"/>
  <c r="F16" i="17" a="1"/>
  <c r="F16" i="17" s="1"/>
  <c r="F17" i="17" a="1"/>
  <c r="F17" i="17" s="1"/>
  <c r="F18" i="17" a="1"/>
  <c r="F18" i="17" s="1"/>
  <c r="F19" i="17" a="1"/>
  <c r="F19" i="17" s="1"/>
  <c r="F20" i="17" a="1"/>
  <c r="F20" i="17"/>
  <c r="F21" i="17" a="1"/>
  <c r="F21" i="17" s="1"/>
  <c r="F22" i="17" a="1"/>
  <c r="F22" i="17" s="1"/>
  <c r="F23" i="17" a="1"/>
  <c r="F23" i="17" s="1"/>
  <c r="F24" i="17" a="1"/>
  <c r="F24" i="17" s="1"/>
  <c r="F25" i="17" a="1"/>
  <c r="F25" i="17" s="1"/>
  <c r="F26" i="17" a="1"/>
  <c r="F26" i="17"/>
  <c r="F27" i="17" a="1"/>
  <c r="F27" i="17" s="1"/>
  <c r="F28" i="17" a="1"/>
  <c r="F28" i="17" s="1"/>
  <c r="F29" i="17" a="1"/>
  <c r="F29" i="17" s="1"/>
  <c r="F30" i="17" a="1"/>
  <c r="F30" i="17" s="1"/>
  <c r="F31" i="17" a="1"/>
  <c r="F31" i="17"/>
  <c r="F32" i="17" a="1"/>
  <c r="F32" i="17" s="1"/>
  <c r="F33" i="17" a="1"/>
  <c r="F33" i="17" s="1"/>
  <c r="F34" i="17" a="1"/>
  <c r="F34" i="17" s="1"/>
  <c r="F35" i="17" a="1"/>
  <c r="F35" i="17"/>
  <c r="F36" i="17" a="1"/>
  <c r="F36" i="17" s="1"/>
  <c r="F37" i="17" a="1"/>
  <c r="F37" i="17" s="1"/>
  <c r="F38" i="17" a="1"/>
  <c r="F38" i="17" s="1"/>
  <c r="F39" i="17" a="1"/>
  <c r="F39" i="17" s="1"/>
  <c r="F40" i="17" a="1"/>
  <c r="F40" i="17" s="1"/>
  <c r="F41" i="17" a="1"/>
  <c r="F41" i="17" s="1"/>
  <c r="F42" i="17" a="1"/>
  <c r="F42" i="17" s="1"/>
  <c r="F43" i="17" a="1"/>
  <c r="F43" i="17" s="1"/>
  <c r="F44" i="17" a="1"/>
  <c r="F44" i="17" s="1"/>
  <c r="F45" i="17" a="1"/>
  <c r="F45" i="17" s="1"/>
  <c r="F46" i="17" a="1"/>
  <c r="F46" i="17" s="1"/>
  <c r="F47" i="17" a="1"/>
  <c r="F47" i="17" s="1"/>
  <c r="F48" i="17" a="1"/>
  <c r="F48" i="17" s="1"/>
  <c r="F49" i="17" a="1"/>
  <c r="F49" i="17" s="1"/>
  <c r="F50" i="17" a="1"/>
  <c r="F50" i="17" s="1"/>
  <c r="F51" i="17" a="1"/>
  <c r="F51" i="17" s="1"/>
  <c r="F52" i="17" a="1"/>
  <c r="F52" i="17" s="1"/>
  <c r="F53" i="17" a="1"/>
  <c r="F53" i="17" s="1"/>
  <c r="F54" i="17" a="1"/>
  <c r="F54" i="17" s="1"/>
  <c r="F55" i="17" a="1"/>
  <c r="F55" i="17" s="1"/>
  <c r="F56" i="17" a="1"/>
  <c r="F56" i="17"/>
  <c r="F57" i="17" a="1"/>
  <c r="F57" i="17" s="1"/>
  <c r="F58" i="17" a="1"/>
  <c r="F58" i="17" s="1"/>
  <c r="F59" i="17" a="1"/>
  <c r="F59" i="17"/>
  <c r="F60" i="17" a="1"/>
  <c r="F60" i="17" s="1"/>
  <c r="F61" i="17" a="1"/>
  <c r="F61" i="17" s="1"/>
  <c r="F62" i="17" a="1"/>
  <c r="F62" i="17"/>
  <c r="F63" i="17" a="1"/>
  <c r="F63" i="17" s="1"/>
  <c r="F64" i="17" a="1"/>
  <c r="F64" i="17" s="1"/>
  <c r="F65" i="17" a="1"/>
  <c r="F65" i="17" s="1"/>
  <c r="F66" i="17" a="1"/>
  <c r="F66" i="17"/>
  <c r="F67" i="17" a="1"/>
  <c r="F67" i="17" s="1"/>
  <c r="F68" i="17" a="1"/>
  <c r="F68" i="17" s="1"/>
  <c r="F69" i="17" a="1"/>
  <c r="F69" i="17" s="1"/>
  <c r="F70" i="17" a="1"/>
  <c r="F70" i="17" s="1"/>
  <c r="F71" i="17" a="1"/>
  <c r="F71" i="17" s="1"/>
  <c r="F72" i="17" a="1"/>
  <c r="F72" i="17"/>
  <c r="F73" i="17" a="1"/>
  <c r="F73" i="17" s="1"/>
  <c r="F74" i="17" a="1"/>
  <c r="F74" i="17"/>
  <c r="F75" i="17" a="1"/>
  <c r="F75" i="17" s="1"/>
  <c r="F76" i="17" a="1"/>
  <c r="F76" i="17" s="1"/>
  <c r="F77" i="17" a="1"/>
  <c r="F77" i="17" s="1"/>
  <c r="F78" i="17" a="1"/>
  <c r="F78" i="17" s="1"/>
  <c r="F79" i="17" a="1"/>
  <c r="F79" i="17"/>
  <c r="F80" i="17" a="1"/>
  <c r="F80" i="17" s="1"/>
  <c r="F81" i="17" a="1"/>
  <c r="F81" i="17" s="1"/>
  <c r="F82" i="17" a="1"/>
  <c r="F82" i="17" s="1"/>
  <c r="F83" i="17" a="1"/>
  <c r="F83" i="17" s="1"/>
  <c r="F84" i="17" a="1"/>
  <c r="F84" i="17" s="1"/>
  <c r="F85" i="17" a="1"/>
  <c r="F85" i="17"/>
  <c r="F86" i="17" a="1"/>
  <c r="F86" i="17" s="1"/>
  <c r="F87" i="17" a="1"/>
  <c r="F87" i="17" s="1"/>
  <c r="F88" i="17" a="1"/>
  <c r="F88" i="17" s="1"/>
  <c r="F89" i="17" a="1"/>
  <c r="F89" i="17"/>
  <c r="F90" i="17" a="1"/>
  <c r="F90" i="17" s="1"/>
  <c r="F91" i="17" a="1"/>
  <c r="F91" i="17" s="1"/>
  <c r="F92" i="17" a="1"/>
  <c r="F92" i="17"/>
  <c r="F93" i="17" a="1"/>
  <c r="F93" i="17" s="1"/>
  <c r="F94" i="17" a="1"/>
  <c r="F94" i="17" s="1"/>
  <c r="F95" i="17" a="1"/>
  <c r="F95" i="17" s="1"/>
  <c r="F96" i="17" a="1"/>
  <c r="F96" i="17" s="1"/>
  <c r="F97" i="17" a="1"/>
  <c r="F97" i="17" s="1"/>
  <c r="F98" i="17" a="1"/>
  <c r="F98" i="17" s="1"/>
  <c r="F99" i="17" a="1"/>
  <c r="F99" i="17" s="1"/>
  <c r="F100" i="17" a="1"/>
  <c r="F100" i="17" s="1"/>
  <c r="F101" i="17" a="1"/>
  <c r="F101" i="17" s="1"/>
  <c r="F102" i="17" a="1"/>
  <c r="F102" i="17" s="1"/>
  <c r="F103" i="17" a="1"/>
  <c r="F103" i="17" s="1"/>
  <c r="F104" i="17" a="1"/>
  <c r="F104" i="17" s="1"/>
  <c r="F105" i="17" a="1"/>
  <c r="F105" i="17" s="1"/>
  <c r="F106" i="17" a="1"/>
  <c r="F106" i="17" s="1"/>
  <c r="F107" i="17" a="1"/>
  <c r="F107" i="17" s="1"/>
  <c r="F108" i="17" a="1"/>
  <c r="F108" i="17"/>
  <c r="F109" i="17" a="1"/>
  <c r="F109" i="17" s="1"/>
  <c r="F110" i="17" a="1"/>
  <c r="F110" i="17"/>
  <c r="F111" i="17" a="1"/>
  <c r="F111" i="17" s="1"/>
  <c r="F112" i="17" a="1"/>
  <c r="F112" i="17" s="1"/>
  <c r="F113" i="17" a="1"/>
  <c r="F113" i="17" s="1"/>
  <c r="F114" i="17" a="1"/>
  <c r="F114" i="17" s="1"/>
  <c r="F115" i="17" a="1"/>
  <c r="F115" i="17" s="1"/>
  <c r="F116" i="17" a="1"/>
  <c r="F116" i="17" s="1"/>
  <c r="F117" i="17" a="1"/>
  <c r="F117" i="17" s="1"/>
  <c r="F118" i="17" a="1"/>
  <c r="F118" i="17" s="1"/>
  <c r="F119" i="17" a="1"/>
  <c r="F119" i="17" s="1"/>
  <c r="F120" i="17" a="1"/>
  <c r="F120" i="17" s="1"/>
  <c r="F121" i="17" a="1"/>
  <c r="F121" i="17" s="1"/>
  <c r="F122" i="17" a="1"/>
  <c r="F122" i="17" s="1"/>
  <c r="F123" i="17" a="1"/>
  <c r="F123" i="17" s="1"/>
  <c r="F124" i="17" a="1"/>
  <c r="F124" i="17" s="1"/>
  <c r="F125" i="17" a="1"/>
  <c r="F125" i="17" s="1"/>
  <c r="F126" i="17" a="1"/>
  <c r="F126" i="17" s="1"/>
  <c r="F127" i="17" a="1"/>
  <c r="F127" i="17" s="1"/>
  <c r="F128" i="17" a="1"/>
  <c r="F128" i="17"/>
  <c r="F129" i="17" a="1"/>
  <c r="F129" i="17" s="1"/>
  <c r="F130" i="17" a="1"/>
  <c r="F130" i="17" s="1"/>
  <c r="F131" i="17" a="1"/>
  <c r="F131" i="17" s="1"/>
  <c r="F132" i="17" a="1"/>
  <c r="F132" i="17" s="1"/>
  <c r="F133" i="17" a="1"/>
  <c r="F133" i="17"/>
  <c r="F134" i="17" a="1"/>
  <c r="F134" i="17" s="1"/>
  <c r="F135" i="17" a="1"/>
  <c r="F135" i="17" s="1"/>
  <c r="F136" i="17" a="1"/>
  <c r="F136" i="17" s="1"/>
  <c r="F137" i="17" a="1"/>
  <c r="F137" i="17"/>
  <c r="F138" i="17" a="1"/>
  <c r="F138" i="17" s="1"/>
  <c r="F139" i="17" a="1"/>
  <c r="F139" i="17" s="1"/>
  <c r="F140" i="17" a="1"/>
  <c r="F140" i="17" s="1"/>
  <c r="F141" i="17" a="1"/>
  <c r="F141" i="17" s="1"/>
  <c r="F142" i="17" a="1"/>
  <c r="F142" i="17" s="1"/>
  <c r="F143" i="17" a="1"/>
  <c r="F143" i="17"/>
  <c r="F144" i="17" a="1"/>
  <c r="F144" i="17"/>
  <c r="F145" i="17" a="1"/>
  <c r="F145" i="17" s="1"/>
  <c r="F146" i="17" a="1"/>
  <c r="F146" i="17" s="1"/>
  <c r="F147" i="17" a="1"/>
  <c r="F147" i="17" s="1"/>
  <c r="F148" i="17" a="1"/>
  <c r="F148" i="17" s="1"/>
  <c r="F149" i="17" a="1"/>
  <c r="F149" i="17" s="1"/>
  <c r="F150" i="17" a="1"/>
  <c r="F150" i="17" s="1"/>
  <c r="F151" i="17" a="1"/>
  <c r="F151" i="17"/>
  <c r="F152" i="17" a="1"/>
  <c r="F152" i="17" s="1"/>
  <c r="F153" i="17" a="1"/>
  <c r="F153" i="17" s="1"/>
  <c r="F154" i="17" a="1"/>
  <c r="F154" i="17" s="1"/>
  <c r="F155" i="17" a="1"/>
  <c r="F155" i="17" s="1"/>
  <c r="F156" i="17" a="1"/>
  <c r="F156" i="17" s="1"/>
  <c r="F157" i="17" a="1"/>
  <c r="F157" i="17"/>
  <c r="F158" i="17" a="1"/>
  <c r="F158" i="17" s="1"/>
  <c r="F159" i="17" a="1"/>
  <c r="F159" i="17" s="1"/>
  <c r="F160" i="17" a="1"/>
  <c r="F160" i="17" s="1"/>
  <c r="F161" i="17" a="1"/>
  <c r="F161" i="17" s="1"/>
  <c r="F162" i="17" a="1"/>
  <c r="F162" i="17"/>
  <c r="F163" i="17" a="1"/>
  <c r="F163" i="17" s="1"/>
  <c r="F164" i="17" a="1"/>
  <c r="F164" i="17" s="1"/>
  <c r="F165" i="17" a="1"/>
  <c r="F165" i="17" s="1"/>
  <c r="F166" i="17" a="1"/>
  <c r="F166" i="17" s="1"/>
  <c r="F167" i="17" a="1"/>
  <c r="F167" i="17" s="1"/>
  <c r="F168" i="17" a="1"/>
  <c r="F168" i="17" s="1"/>
  <c r="F169" i="17" a="1"/>
  <c r="F169" i="17"/>
  <c r="F170" i="17" a="1"/>
  <c r="F170" i="17" s="1"/>
  <c r="F171" i="17" a="1"/>
  <c r="F171" i="17" s="1"/>
  <c r="F172" i="17" a="1"/>
  <c r="F172" i="17" s="1"/>
  <c r="F173" i="17" a="1"/>
  <c r="F173" i="17" s="1"/>
  <c r="F174" i="17" a="1"/>
  <c r="F174" i="17" s="1"/>
  <c r="F175" i="17" a="1"/>
  <c r="F175" i="17"/>
  <c r="F176" i="17" a="1"/>
  <c r="F176" i="17" s="1"/>
  <c r="F177" i="17" a="1"/>
  <c r="F177" i="17" s="1"/>
  <c r="F178" i="17" a="1"/>
  <c r="F178" i="17" s="1"/>
  <c r="F179" i="17" a="1"/>
  <c r="F179" i="17" s="1"/>
  <c r="F180" i="17" a="1"/>
  <c r="F180" i="17"/>
  <c r="F181" i="17" a="1"/>
  <c r="F181" i="17"/>
  <c r="F182" i="17" a="1"/>
  <c r="F182" i="17" s="1"/>
  <c r="F183" i="17" a="1"/>
  <c r="F183" i="17" s="1"/>
  <c r="F184" i="17" a="1"/>
  <c r="F184" i="17" s="1"/>
  <c r="F185" i="17" a="1"/>
  <c r="F185" i="17" s="1"/>
  <c r="F186" i="17" a="1"/>
  <c r="F186" i="17" s="1"/>
  <c r="F187" i="17" a="1"/>
  <c r="F187" i="17"/>
  <c r="F188" i="17" a="1"/>
  <c r="F188" i="17"/>
  <c r="F189" i="17" a="1"/>
  <c r="F189" i="17" s="1"/>
  <c r="F190" i="17" a="1"/>
  <c r="F190" i="17" s="1"/>
  <c r="F191" i="17" a="1"/>
  <c r="F191" i="17" s="1"/>
  <c r="F192" i="17" a="1"/>
  <c r="F192" i="17" s="1"/>
  <c r="F193" i="17" a="1"/>
  <c r="F193" i="17" s="1"/>
  <c r="F194" i="17" a="1"/>
  <c r="F194" i="17"/>
  <c r="F195" i="17" a="1"/>
  <c r="F195" i="17" s="1"/>
  <c r="F196" i="17" a="1"/>
  <c r="F196" i="17"/>
  <c r="F197" i="17" a="1"/>
  <c r="F197" i="17" s="1"/>
  <c r="F198" i="17" a="1"/>
  <c r="F198" i="17"/>
  <c r="F199" i="17" a="1"/>
  <c r="F199" i="17" s="1"/>
  <c r="F200" i="17" a="1"/>
  <c r="F200" i="17" s="1"/>
  <c r="F201" i="17" a="1"/>
  <c r="F201" i="17" s="1"/>
  <c r="F202" i="17" a="1"/>
  <c r="F202" i="17" s="1"/>
  <c r="F203" i="17" a="1"/>
  <c r="F203" i="17"/>
  <c r="F204" i="17" a="1"/>
  <c r="F204" i="17" s="1"/>
  <c r="F205" i="17" a="1"/>
  <c r="F205" i="17"/>
  <c r="F206" i="17" a="1"/>
  <c r="F206" i="17" s="1"/>
  <c r="F207" i="17" a="1"/>
  <c r="F207" i="17" s="1"/>
  <c r="F208" i="17" a="1"/>
  <c r="F208" i="17" s="1"/>
  <c r="F209" i="17" a="1"/>
  <c r="F209" i="17" s="1"/>
  <c r="F210" i="17" a="1"/>
  <c r="F210" i="17" s="1"/>
  <c r="F211" i="17" a="1"/>
  <c r="F211" i="17" s="1"/>
  <c r="F212" i="17" a="1"/>
  <c r="F212" i="17" s="1"/>
  <c r="F213" i="17" a="1"/>
  <c r="F213" i="17" s="1"/>
  <c r="F214" i="17" a="1"/>
  <c r="F214" i="17" s="1"/>
  <c r="F215" i="17" a="1"/>
  <c r="F215" i="17" s="1"/>
  <c r="F216" i="17" a="1"/>
  <c r="F216" i="17"/>
  <c r="F217" i="17" a="1"/>
  <c r="F217" i="17"/>
  <c r="F218" i="17" a="1"/>
  <c r="F218" i="17" s="1"/>
  <c r="F219" i="17" a="1"/>
  <c r="F219" i="17" s="1"/>
  <c r="F220" i="17" a="1"/>
  <c r="F220" i="17" s="1"/>
  <c r="F221" i="17" a="1"/>
  <c r="F221" i="17" s="1"/>
  <c r="F222" i="17" a="1"/>
  <c r="F222" i="17" s="1"/>
  <c r="F223" i="17" a="1"/>
  <c r="F223" i="17"/>
  <c r="F224" i="17" a="1"/>
  <c r="F224" i="17"/>
  <c r="F225" i="17" a="1"/>
  <c r="F225" i="17" s="1"/>
  <c r="F226" i="17" a="1"/>
  <c r="F226" i="17" s="1"/>
  <c r="F227" i="17" a="1"/>
  <c r="F227" i="17" s="1"/>
  <c r="F228" i="17" a="1"/>
  <c r="F228" i="17" s="1"/>
  <c r="F229" i="17" a="1"/>
  <c r="F229" i="17" s="1"/>
  <c r="F230" i="17" a="1"/>
  <c r="F230" i="17" s="1"/>
  <c r="F231" i="17" a="1"/>
  <c r="F231" i="17" s="1"/>
  <c r="F232" i="17" a="1"/>
  <c r="F232" i="17" s="1"/>
  <c r="F233" i="17" a="1"/>
  <c r="F233" i="17" s="1"/>
  <c r="F234" i="17" a="1"/>
  <c r="F234" i="17" s="1"/>
  <c r="F235" i="17" a="1"/>
  <c r="F235" i="17"/>
  <c r="F236" i="17" a="1"/>
  <c r="F236" i="17" s="1"/>
  <c r="F237" i="17" a="1"/>
  <c r="F237" i="17" s="1"/>
  <c r="F238" i="17" a="1"/>
  <c r="F238" i="17" s="1"/>
  <c r="F239" i="17" a="1"/>
  <c r="F239" i="17" s="1"/>
  <c r="F240" i="17" a="1"/>
  <c r="F240" i="17" s="1"/>
  <c r="F241" i="17" a="1"/>
  <c r="F241" i="17" s="1"/>
  <c r="F242" i="17" a="1"/>
  <c r="F242" i="17"/>
  <c r="F243" i="17" a="1"/>
  <c r="F243" i="17" s="1"/>
  <c r="F244" i="17" a="1"/>
  <c r="F244" i="17" s="1"/>
  <c r="F245" i="17" a="1"/>
  <c r="F245" i="17" s="1"/>
  <c r="F246" i="17" a="1"/>
  <c r="F246" i="17" s="1"/>
  <c r="F247" i="17" a="1"/>
  <c r="F247" i="17" s="1"/>
  <c r="F248" i="17" a="1"/>
  <c r="F248" i="17" s="1"/>
  <c r="F249" i="17" a="1"/>
  <c r="F249" i="17" s="1"/>
  <c r="F250" i="17" a="1"/>
  <c r="F250" i="17" s="1"/>
  <c r="F251" i="17" a="1"/>
  <c r="F251" i="17" s="1"/>
  <c r="F252" i="17" a="1"/>
  <c r="F252" i="17"/>
  <c r="F253" i="17" a="1"/>
  <c r="F253" i="17" s="1"/>
  <c r="F254" i="17" a="1"/>
  <c r="F254" i="17" s="1"/>
  <c r="F255" i="17" a="1"/>
  <c r="F255" i="17" s="1"/>
  <c r="F256" i="17" a="1"/>
  <c r="F256" i="17" s="1"/>
  <c r="F257" i="17" a="1"/>
  <c r="F257" i="17"/>
  <c r="F258" i="17" a="1"/>
  <c r="F258" i="17" s="1"/>
  <c r="F259" i="17" a="1"/>
  <c r="F259" i="17" s="1"/>
  <c r="F260" i="17" a="1"/>
  <c r="F260" i="17"/>
  <c r="F261" i="17" a="1"/>
  <c r="F261" i="17" s="1"/>
  <c r="F262" i="17" a="1"/>
  <c r="F262" i="17" s="1"/>
  <c r="F263" i="17" a="1"/>
  <c r="F263" i="17" s="1"/>
  <c r="F264" i="17" a="1"/>
  <c r="F264" i="17" s="1"/>
  <c r="F265" i="17" a="1"/>
  <c r="F265" i="17" s="1"/>
  <c r="F266" i="17" a="1"/>
  <c r="F266" i="17"/>
  <c r="F267" i="17" a="1"/>
  <c r="F267" i="17" s="1"/>
  <c r="F268" i="17" a="1"/>
  <c r="F268" i="17" s="1"/>
  <c r="F269" i="17" a="1"/>
  <c r="F269" i="17" s="1"/>
  <c r="F270" i="17" a="1"/>
  <c r="F270" i="17" s="1"/>
  <c r="F271" i="17" a="1"/>
  <c r="F271" i="17" s="1"/>
  <c r="F272" i="17" a="1"/>
  <c r="F272" i="17" s="1"/>
  <c r="F273" i="17" a="1"/>
  <c r="F273" i="17" s="1"/>
  <c r="F274" i="17" a="1"/>
  <c r="F274" i="17"/>
  <c r="F275" i="17" a="1"/>
  <c r="F275" i="17" s="1"/>
  <c r="F276" i="17" a="1"/>
  <c r="F276" i="17"/>
  <c r="F277" i="17" a="1"/>
  <c r="F277" i="17" s="1"/>
  <c r="F278" i="17" a="1"/>
  <c r="F278" i="17"/>
  <c r="F279" i="17" a="1"/>
  <c r="F279" i="17" s="1"/>
  <c r="F280" i="17" a="1"/>
  <c r="F280" i="17" s="1"/>
  <c r="F281" i="17" a="1"/>
  <c r="F281" i="17" s="1"/>
  <c r="F282" i="17" a="1"/>
  <c r="F282" i="17"/>
  <c r="F283" i="17" a="1"/>
  <c r="F283" i="17"/>
  <c r="F284" i="17" a="1"/>
  <c r="F284" i="17" s="1"/>
  <c r="F285" i="17" a="1"/>
  <c r="F285" i="17" s="1"/>
  <c r="F286" i="17" a="1"/>
  <c r="F286" i="17" s="1"/>
  <c r="F287" i="17" a="1"/>
  <c r="F287" i="17" s="1"/>
  <c r="F288" i="17" a="1"/>
  <c r="F288" i="17" s="1"/>
  <c r="F289" i="17" a="1"/>
  <c r="F289" i="17" s="1"/>
  <c r="F290" i="17" a="1"/>
  <c r="F290" i="17"/>
  <c r="F291" i="17" a="1"/>
  <c r="F291" i="17" s="1"/>
  <c r="F292" i="17" a="1"/>
  <c r="F292" i="17"/>
  <c r="F293" i="17" a="1"/>
  <c r="F293" i="17"/>
  <c r="F294" i="17" a="1"/>
  <c r="F294" i="17" s="1"/>
  <c r="F295" i="17" a="1"/>
  <c r="F295" i="17" s="1"/>
  <c r="F296" i="17" a="1"/>
  <c r="F296" i="17"/>
  <c r="F297" i="17" a="1"/>
  <c r="F297" i="17" s="1"/>
  <c r="F298" i="17" a="1"/>
  <c r="F298" i="17"/>
  <c r="F299" i="17" a="1"/>
  <c r="F299" i="17"/>
  <c r="F300" i="17" a="1"/>
  <c r="F300" i="17"/>
  <c r="F301" i="17" a="1"/>
  <c r="F301" i="17" s="1"/>
  <c r="F302" i="17" a="1"/>
  <c r="F302" i="17" s="1"/>
  <c r="F303" i="17" a="1"/>
  <c r="F303" i="17" s="1"/>
  <c r="F304" i="17" a="1"/>
  <c r="F304" i="17" s="1"/>
  <c r="F305" i="17" a="1"/>
  <c r="F305" i="17" s="1"/>
  <c r="F306" i="17" a="1"/>
  <c r="F306" i="17" s="1"/>
  <c r="F307" i="17" a="1"/>
  <c r="F307" i="17" s="1"/>
  <c r="F308" i="17" a="1"/>
  <c r="F308" i="17" s="1"/>
  <c r="F309" i="17" a="1"/>
  <c r="F309" i="17" s="1"/>
  <c r="F310" i="17" a="1"/>
  <c r="F310" i="17" s="1"/>
  <c r="F311" i="17" a="1"/>
  <c r="F311" i="17"/>
  <c r="F312" i="17" a="1"/>
  <c r="F312" i="17" s="1"/>
  <c r="F313" i="17" a="1"/>
  <c r="F313" i="17" s="1"/>
  <c r="F314" i="17" a="1"/>
  <c r="F314" i="17" s="1"/>
  <c r="F315" i="17" a="1"/>
  <c r="F315" i="17" s="1"/>
  <c r="F316" i="17" a="1"/>
  <c r="F316" i="17" s="1"/>
  <c r="F317" i="17" a="1"/>
  <c r="F317" i="17" s="1"/>
  <c r="F318" i="17" a="1"/>
  <c r="F318" i="17"/>
  <c r="F319" i="17" a="1"/>
  <c r="F319" i="17"/>
  <c r="F320" i="17" a="1"/>
  <c r="F320" i="17" s="1"/>
  <c r="F321" i="17" a="1"/>
  <c r="F321" i="17" s="1"/>
  <c r="F322" i="17" a="1"/>
  <c r="F322" i="17" s="1"/>
  <c r="F323" i="17" a="1"/>
  <c r="F323" i="17" s="1"/>
  <c r="F324" i="17" a="1"/>
  <c r="F324" i="17" s="1"/>
  <c r="F325" i="17" a="1"/>
  <c r="F325" i="17"/>
  <c r="F326" i="17" a="1"/>
  <c r="F326" i="17" s="1"/>
  <c r="F327" i="17" a="1"/>
  <c r="F327" i="17" s="1"/>
  <c r="F328" i="17" a="1"/>
  <c r="F328" i="17" s="1"/>
  <c r="F329" i="17" a="1"/>
  <c r="F329" i="17" s="1"/>
  <c r="F330" i="17" a="1"/>
  <c r="F330" i="17" s="1"/>
  <c r="F331" i="17" a="1"/>
  <c r="F331" i="17" s="1"/>
  <c r="F332" i="17" a="1"/>
  <c r="F332" i="17" s="1"/>
  <c r="F333" i="17" a="1"/>
  <c r="F333" i="17" s="1"/>
  <c r="F334" i="17" a="1"/>
  <c r="F334" i="17"/>
  <c r="F335" i="17" a="1"/>
  <c r="F335" i="17" s="1"/>
  <c r="F336" i="17" a="1"/>
  <c r="F336" i="17" s="1"/>
  <c r="F337" i="17" a="1"/>
  <c r="F337" i="17"/>
  <c r="F338" i="17" a="1"/>
  <c r="F338" i="17" s="1"/>
  <c r="F339" i="17" a="1"/>
  <c r="F339" i="17" s="1"/>
  <c r="F340" i="17" a="1"/>
  <c r="F340" i="17" s="1"/>
  <c r="F341" i="17" a="1"/>
  <c r="F341" i="17"/>
  <c r="F342" i="17" a="1"/>
  <c r="F342" i="17" s="1"/>
  <c r="F343" i="17" a="1"/>
  <c r="F343" i="17" s="1"/>
  <c r="F344" i="17" a="1"/>
  <c r="F344" i="17" s="1"/>
  <c r="F345" i="17" a="1"/>
  <c r="F345" i="17" s="1"/>
  <c r="F346" i="17" a="1"/>
  <c r="F346" i="17" s="1"/>
  <c r="F347" i="17" a="1"/>
  <c r="F347" i="17" s="1"/>
  <c r="F348" i="17" a="1"/>
  <c r="F348" i="17" s="1"/>
  <c r="F349" i="17" a="1"/>
  <c r="F349" i="17" s="1"/>
  <c r="F350" i="17" a="1"/>
  <c r="F350" i="17" s="1"/>
  <c r="F351" i="17" a="1"/>
  <c r="F351" i="17" s="1"/>
  <c r="F352" i="17" a="1"/>
  <c r="F352" i="17"/>
  <c r="F353" i="17" a="1"/>
  <c r="F353" i="17" s="1"/>
  <c r="F354" i="17" a="1"/>
  <c r="F354" i="17" s="1"/>
  <c r="F355" i="17" a="1"/>
  <c r="F355" i="17"/>
  <c r="F356" i="17" a="1"/>
  <c r="F356" i="17" s="1"/>
  <c r="F357" i="17" a="1"/>
  <c r="F357" i="17" s="1"/>
  <c r="F358" i="17" a="1"/>
  <c r="F358" i="17"/>
  <c r="F359" i="17" a="1"/>
  <c r="F359" i="17" s="1"/>
  <c r="F360" i="17" a="1"/>
  <c r="F360" i="17" s="1"/>
  <c r="F361" i="17" a="1"/>
  <c r="F361" i="17" s="1"/>
  <c r="F362" i="17" a="1"/>
  <c r="F362" i="17" s="1"/>
  <c r="F363" i="17" a="1"/>
  <c r="F363" i="17" s="1"/>
  <c r="F364" i="17" a="1"/>
  <c r="F364" i="17" s="1"/>
  <c r="F365" i="17" a="1"/>
  <c r="F365" i="17" s="1"/>
  <c r="F366" i="17" a="1"/>
  <c r="F366" i="17"/>
  <c r="F367" i="17" a="1"/>
  <c r="F367" i="17" s="1"/>
  <c r="F368" i="17" a="1"/>
  <c r="F368" i="17" s="1"/>
  <c r="F369" i="17" a="1"/>
  <c r="F369" i="17" s="1"/>
  <c r="F370" i="17" a="1"/>
  <c r="F370" i="17"/>
  <c r="F371" i="17" a="1"/>
  <c r="F371" i="17"/>
  <c r="F372" i="17" a="1"/>
  <c r="F372" i="17" s="1"/>
  <c r="F373" i="17" a="1"/>
  <c r="F373" i="17" s="1"/>
  <c r="F374" i="17" a="1"/>
  <c r="F374" i="17" s="1"/>
  <c r="F375" i="17" a="1"/>
  <c r="F375" i="17" s="1"/>
  <c r="F376" i="17" a="1"/>
  <c r="F376" i="17" s="1"/>
  <c r="F377" i="17" a="1"/>
  <c r="F377" i="17" s="1"/>
  <c r="F378" i="17" a="1"/>
  <c r="F378" i="17"/>
  <c r="F379" i="17" a="1"/>
  <c r="F379" i="17" s="1"/>
  <c r="F380" i="17" a="1"/>
  <c r="F380" i="17" s="1"/>
  <c r="F381" i="17" a="1"/>
  <c r="F381" i="17" s="1"/>
  <c r="F382" i="17" a="1"/>
  <c r="F382" i="17" s="1"/>
  <c r="F383" i="17" a="1"/>
  <c r="F383" i="17"/>
  <c r="F384" i="17" a="1"/>
  <c r="F384" i="17"/>
  <c r="F385" i="17" a="1"/>
  <c r="F385" i="17" s="1"/>
  <c r="F386" i="17" a="1"/>
  <c r="F386" i="17"/>
  <c r="F387" i="17" a="1"/>
  <c r="F387" i="17" s="1"/>
  <c r="F388" i="17" a="1"/>
  <c r="F388" i="17" s="1"/>
  <c r="F389" i="17" a="1"/>
  <c r="F389" i="17" s="1"/>
  <c r="F390" i="17" a="1"/>
  <c r="F390" i="17" s="1"/>
  <c r="F391" i="17" a="1"/>
  <c r="F391" i="17"/>
  <c r="F392" i="17" a="1"/>
  <c r="F392" i="17"/>
  <c r="F393" i="17" a="1"/>
  <c r="F393" i="17" s="1"/>
  <c r="F394" i="17" a="1"/>
  <c r="F394" i="17"/>
  <c r="F395" i="17" a="1"/>
  <c r="F395" i="17" s="1"/>
  <c r="F396" i="17" a="1"/>
  <c r="F396" i="17" s="1"/>
  <c r="F397" i="17" a="1"/>
  <c r="F397" i="17" s="1"/>
  <c r="F398" i="17" a="1"/>
  <c r="F398" i="17" s="1"/>
  <c r="F399" i="17" a="1"/>
  <c r="F399" i="17" s="1"/>
  <c r="F400" i="17" a="1"/>
  <c r="F400" i="17"/>
  <c r="F401" i="17" a="1"/>
  <c r="F401" i="17"/>
  <c r="F402" i="17" a="1"/>
  <c r="F402" i="17" s="1"/>
  <c r="F403" i="17" a="1"/>
  <c r="F403" i="17" s="1"/>
  <c r="F404" i="17" a="1"/>
  <c r="F404" i="17" s="1"/>
  <c r="F405" i="17" a="1"/>
  <c r="F405" i="17" s="1"/>
  <c r="F406" i="17" a="1"/>
  <c r="F406" i="17" s="1"/>
  <c r="F407" i="17" a="1"/>
  <c r="F407" i="17"/>
  <c r="F408" i="17" a="1"/>
  <c r="F408" i="17" s="1"/>
  <c r="F409" i="17" a="1"/>
  <c r="F409" i="17"/>
  <c r="F410" i="17" a="1"/>
  <c r="F410" i="17" s="1"/>
  <c r="F411" i="17" a="1"/>
  <c r="F411" i="17" s="1"/>
  <c r="F412" i="17" a="1"/>
  <c r="F412" i="17" s="1"/>
  <c r="F413" i="17" a="1"/>
  <c r="F413" i="17"/>
  <c r="F414" i="17" a="1"/>
  <c r="F414" i="17" s="1"/>
  <c r="F415" i="17" a="1"/>
  <c r="F415" i="17" s="1"/>
  <c r="F416" i="17" a="1"/>
  <c r="F416" i="17"/>
  <c r="F417" i="17" a="1"/>
  <c r="F417" i="17" s="1"/>
  <c r="F418" i="17" a="1"/>
  <c r="F418" i="17" s="1"/>
  <c r="F419" i="17" a="1"/>
  <c r="F419" i="17" s="1"/>
  <c r="F420" i="17" a="1"/>
  <c r="F420" i="17" s="1"/>
  <c r="F421" i="17" a="1"/>
  <c r="F421" i="17"/>
  <c r="F422" i="17" a="1"/>
  <c r="F422" i="17" s="1"/>
  <c r="F423" i="17" a="1"/>
  <c r="F423" i="17" s="1"/>
  <c r="F424" i="17" a="1"/>
  <c r="F424" i="17" s="1"/>
  <c r="F425" i="17" a="1"/>
  <c r="F425" i="17" s="1"/>
  <c r="F426" i="17" a="1"/>
  <c r="F426" i="17" s="1"/>
  <c r="F427" i="17" a="1"/>
  <c r="F427" i="17"/>
  <c r="F428" i="17" a="1"/>
  <c r="F428" i="17" s="1"/>
  <c r="F429" i="17" a="1"/>
  <c r="F429" i="17" s="1"/>
  <c r="F430" i="17" a="1"/>
  <c r="F430" i="17" s="1"/>
  <c r="F431" i="17" a="1"/>
  <c r="F431" i="17" s="1"/>
  <c r="F432" i="17" a="1"/>
  <c r="F432" i="17"/>
  <c r="F433" i="17" a="1"/>
  <c r="F433" i="17" s="1"/>
  <c r="F434" i="17" a="1"/>
  <c r="F434" i="17"/>
  <c r="F435" i="17" a="1"/>
  <c r="F435" i="17" s="1"/>
  <c r="F436" i="17" a="1"/>
  <c r="F436" i="17"/>
  <c r="F437" i="17" a="1"/>
  <c r="F437" i="17" s="1"/>
  <c r="F438" i="17" a="1"/>
  <c r="F438" i="17" s="1"/>
  <c r="F439" i="17" a="1"/>
  <c r="F439" i="17" s="1"/>
  <c r="F440" i="17" a="1"/>
  <c r="F440" i="17" s="1"/>
  <c r="F441" i="17" a="1"/>
  <c r="F441" i="17" s="1"/>
  <c r="F442" i="17" a="1"/>
  <c r="F442" i="17" s="1"/>
  <c r="F443" i="17" a="1"/>
  <c r="F443" i="17"/>
  <c r="F444" i="17" a="1"/>
  <c r="F444" i="17" s="1"/>
  <c r="F445" i="17" a="1"/>
  <c r="F445" i="17" s="1"/>
  <c r="F446" i="17" a="1"/>
  <c r="F446" i="17"/>
  <c r="F447" i="17" a="1"/>
  <c r="F447" i="17" s="1"/>
  <c r="F448" i="17" a="1"/>
  <c r="F448" i="17" s="1"/>
  <c r="F449" i="17" a="1"/>
  <c r="F449" i="17"/>
  <c r="F450" i="17" a="1"/>
  <c r="F450" i="17" s="1"/>
  <c r="F451" i="17" a="1"/>
  <c r="F451" i="17" s="1"/>
  <c r="F452" i="17" a="1"/>
  <c r="F452" i="17"/>
  <c r="F453" i="17" a="1"/>
  <c r="F453" i="17" s="1"/>
  <c r="F454" i="17" a="1"/>
  <c r="F454" i="17"/>
  <c r="F455" i="17" a="1"/>
  <c r="F455" i="17" s="1"/>
  <c r="F456" i="17" a="1"/>
  <c r="F456" i="17"/>
  <c r="F457" i="17" a="1"/>
  <c r="F457" i="17"/>
  <c r="F458" i="17" a="1"/>
  <c r="F458" i="17" s="1"/>
  <c r="F459" i="17" a="1"/>
  <c r="F459" i="17" s="1"/>
  <c r="F460" i="17" a="1"/>
  <c r="F460" i="17" s="1"/>
  <c r="F461" i="17" a="1"/>
  <c r="F461" i="17" s="1"/>
  <c r="F462" i="17" a="1"/>
  <c r="F462" i="17" s="1"/>
  <c r="F463" i="17" a="1"/>
  <c r="F463" i="17" s="1"/>
  <c r="F464" i="17" a="1"/>
  <c r="F464" i="17" s="1"/>
  <c r="F465" i="17" a="1"/>
  <c r="F465" i="17" s="1"/>
  <c r="F466" i="17" a="1"/>
  <c r="F466" i="17"/>
  <c r="F467" i="17" a="1"/>
  <c r="F467" i="17" s="1"/>
  <c r="F468" i="17" a="1"/>
  <c r="F468" i="17" s="1"/>
  <c r="F469" i="17" a="1"/>
  <c r="F469" i="17" s="1"/>
  <c r="F470" i="17" a="1"/>
  <c r="F470" i="17"/>
  <c r="F471" i="17" a="1"/>
  <c r="F471" i="17" s="1"/>
  <c r="F472" i="17" a="1"/>
  <c r="F472" i="17" s="1"/>
  <c r="F473" i="17" a="1"/>
  <c r="F473" i="17" s="1"/>
  <c r="F474" i="17" a="1"/>
  <c r="F474" i="17" s="1"/>
  <c r="F475" i="17" a="1"/>
  <c r="F475" i="17"/>
  <c r="F476" i="17" a="1"/>
  <c r="F476" i="17" s="1"/>
  <c r="F477" i="17" a="1"/>
  <c r="F477" i="17" s="1"/>
  <c r="F478" i="17" a="1"/>
  <c r="F478" i="17"/>
  <c r="F479" i="17" a="1"/>
  <c r="F479" i="17" s="1"/>
  <c r="F480" i="17" a="1"/>
  <c r="F480" i="17"/>
  <c r="F481" i="17" a="1"/>
  <c r="F481" i="17" s="1"/>
  <c r="F482" i="17" a="1"/>
  <c r="F482" i="17" s="1"/>
  <c r="F483" i="17" a="1"/>
  <c r="F483" i="17" s="1"/>
  <c r="F484" i="17" a="1"/>
  <c r="F484" i="17" s="1"/>
  <c r="F485" i="17" a="1"/>
  <c r="F485" i="17" s="1"/>
  <c r="F486" i="17" a="1"/>
  <c r="F486" i="17" s="1"/>
  <c r="F487" i="17" a="1"/>
  <c r="F487" i="17" s="1"/>
  <c r="F488" i="17" a="1"/>
  <c r="F488" i="17"/>
  <c r="F489" i="17" a="1"/>
  <c r="F489" i="17" s="1"/>
  <c r="F490" i="17" a="1"/>
  <c r="F490" i="17"/>
  <c r="F491" i="17" a="1"/>
  <c r="F491" i="17" s="1"/>
  <c r="F492" i="17" a="1"/>
  <c r="F492" i="17" s="1"/>
  <c r="F493" i="17" a="1"/>
  <c r="F493" i="17"/>
  <c r="F494" i="17" a="1"/>
  <c r="F494" i="17" s="1"/>
  <c r="F495" i="17" a="1"/>
  <c r="F495" i="17" s="1"/>
  <c r="F496" i="17" a="1"/>
  <c r="F496" i="17"/>
  <c r="F497" i="17" a="1"/>
  <c r="F497" i="17" s="1"/>
  <c r="F498" i="17" a="1"/>
  <c r="F498" i="17" s="1"/>
  <c r="F499" i="17" a="1"/>
  <c r="F499" i="17" s="1"/>
  <c r="F500" i="17" a="1"/>
  <c r="F500" i="17" s="1"/>
  <c r="F501" i="17" a="1"/>
  <c r="F501" i="17" s="1"/>
  <c r="F502" i="17" a="1"/>
  <c r="F502" i="17"/>
  <c r="F503" i="17" a="1"/>
  <c r="F503" i="17" s="1"/>
  <c r="F504" i="17" a="1"/>
  <c r="F504" i="17" s="1"/>
  <c r="F505" i="17" a="1"/>
  <c r="F505" i="17" s="1"/>
  <c r="F506" i="17" a="1"/>
  <c r="F506" i="17" s="1"/>
  <c r="F507" i="17" a="1"/>
  <c r="F507" i="17" s="1"/>
  <c r="F508" i="17" a="1"/>
  <c r="F508" i="17"/>
  <c r="F509" i="17" a="1"/>
  <c r="F509" i="17" s="1"/>
  <c r="F510" i="17" a="1"/>
  <c r="F510" i="17"/>
  <c r="F511" i="17" a="1"/>
  <c r="F511" i="17" s="1"/>
  <c r="F512" i="17" a="1"/>
  <c r="F512" i="17" s="1"/>
  <c r="F513" i="17" a="1"/>
  <c r="F513" i="17" s="1"/>
  <c r="F514" i="17" a="1"/>
  <c r="F514" i="17" s="1"/>
  <c r="F515" i="17" a="1"/>
  <c r="F515" i="17"/>
  <c r="F516" i="17" a="1"/>
  <c r="F516" i="17"/>
  <c r="F517" i="17" a="1"/>
  <c r="F517" i="17" s="1"/>
  <c r="F518" i="17" a="1"/>
  <c r="F518" i="17" s="1"/>
  <c r="F519" i="17" a="1"/>
  <c r="F519" i="17" s="1"/>
  <c r="F520" i="17" a="1"/>
  <c r="F520" i="17" s="1"/>
  <c r="F521" i="17" a="1"/>
  <c r="F521" i="17" s="1"/>
  <c r="F522" i="17" a="1"/>
  <c r="F522" i="17" s="1"/>
  <c r="F523" i="17" a="1"/>
  <c r="F523" i="17"/>
  <c r="F524" i="17" a="1"/>
  <c r="F524" i="17"/>
  <c r="F525" i="17" a="1"/>
  <c r="F525" i="17" s="1"/>
  <c r="F526" i="17" a="1"/>
  <c r="F526" i="17" s="1"/>
  <c r="F527" i="17" a="1"/>
  <c r="F527" i="17" s="1"/>
  <c r="F528" i="17" a="1"/>
  <c r="F528" i="17" s="1"/>
  <c r="F529" i="17" a="1"/>
  <c r="F529" i="17" s="1"/>
  <c r="F530" i="17" a="1"/>
  <c r="F530" i="17" s="1"/>
  <c r="F531" i="17" a="1"/>
  <c r="F531" i="17" s="1"/>
  <c r="F532" i="17" a="1"/>
  <c r="F532" i="17" s="1"/>
  <c r="F533" i="17" a="1"/>
  <c r="F533" i="17"/>
  <c r="F534" i="17" a="1"/>
  <c r="F534" i="17" s="1"/>
  <c r="F535" i="17" a="1"/>
  <c r="F535" i="17" s="1"/>
  <c r="F536" i="17" a="1"/>
  <c r="F536" i="17" s="1"/>
  <c r="F537" i="17" a="1"/>
  <c r="F537" i="17" s="1"/>
  <c r="F538" i="17" a="1"/>
  <c r="F538" i="17"/>
  <c r="F539" i="17" a="1"/>
  <c r="F539" i="17" s="1"/>
  <c r="F540" i="17" a="1"/>
  <c r="F540" i="17"/>
  <c r="F541" i="17" a="1"/>
  <c r="F541" i="17" s="1"/>
  <c r="F542" i="17" a="1"/>
  <c r="F542" i="17" s="1"/>
  <c r="F543" i="17" a="1"/>
  <c r="F543" i="17" s="1"/>
  <c r="F544" i="17" a="1"/>
  <c r="F544" i="17"/>
  <c r="F545" i="17" a="1"/>
  <c r="F545" i="17" s="1"/>
  <c r="F546" i="17" a="1"/>
  <c r="F546" i="17" s="1"/>
  <c r="F547" i="17" a="1"/>
  <c r="F547" i="17" s="1"/>
  <c r="F548" i="17" a="1"/>
  <c r="F548" i="17" s="1"/>
  <c r="F549" i="17" a="1"/>
  <c r="F549" i="17" s="1"/>
  <c r="F550" i="17" a="1"/>
  <c r="F550" i="17"/>
  <c r="F551" i="17" a="1"/>
  <c r="F551" i="17"/>
  <c r="F552" i="17" a="1"/>
  <c r="F552" i="17" s="1"/>
  <c r="F553" i="17" a="1"/>
  <c r="F553" i="17"/>
  <c r="F554" i="17" a="1"/>
  <c r="F554" i="17" s="1"/>
  <c r="F555" i="17" a="1"/>
  <c r="F555" i="17" s="1"/>
  <c r="F556" i="17" a="1"/>
  <c r="F556" i="17" s="1"/>
  <c r="F557" i="17" a="1"/>
  <c r="F557" i="17" s="1"/>
  <c r="F558" i="17" a="1"/>
  <c r="F558" i="17" s="1"/>
  <c r="F559" i="17" a="1"/>
  <c r="F559" i="17"/>
  <c r="F560" i="17" a="1"/>
  <c r="F560" i="17"/>
  <c r="F561" i="17" a="1"/>
  <c r="F561" i="17" s="1"/>
  <c r="F562" i="17" a="1"/>
  <c r="F562" i="17" s="1"/>
  <c r="F563" i="17" a="1"/>
  <c r="F563" i="17" s="1"/>
  <c r="F564" i="17" a="1"/>
  <c r="F564" i="17"/>
  <c r="F565" i="17" a="1"/>
  <c r="F565" i="17" s="1"/>
  <c r="F566" i="17" a="1"/>
  <c r="F566" i="17"/>
  <c r="F567" i="17" a="1"/>
  <c r="F567" i="17" s="1"/>
  <c r="F568" i="17" a="1"/>
  <c r="F568" i="17" s="1"/>
  <c r="F569" i="17" a="1"/>
  <c r="F569" i="17"/>
  <c r="F570" i="17" a="1"/>
  <c r="F570" i="17" s="1"/>
  <c r="F571" i="17" a="1"/>
  <c r="F571" i="17" s="1"/>
  <c r="F572" i="17" a="1"/>
  <c r="F572" i="17" s="1"/>
  <c r="F573" i="17" a="1"/>
  <c r="F573" i="17" s="1"/>
  <c r="F574" i="17" a="1"/>
  <c r="F574" i="17" s="1"/>
  <c r="F575" i="17" a="1"/>
  <c r="F575" i="17" s="1"/>
  <c r="F576" i="17" a="1"/>
  <c r="F576" i="17"/>
  <c r="F577" i="17" a="1"/>
  <c r="F577" i="17" s="1"/>
  <c r="F578" i="17" a="1"/>
  <c r="F578" i="17" s="1"/>
  <c r="F579" i="17" a="1"/>
  <c r="F579" i="17" s="1"/>
  <c r="F580" i="17" a="1"/>
  <c r="F580" i="17" s="1"/>
  <c r="F581" i="17" a="1"/>
  <c r="F581" i="17"/>
  <c r="F582" i="17" a="1"/>
  <c r="F582" i="17" s="1"/>
  <c r="F583" i="17" a="1"/>
  <c r="F583" i="17" s="1"/>
  <c r="F584" i="17" a="1"/>
  <c r="F584" i="17" s="1"/>
  <c r="F585" i="17" a="1"/>
  <c r="F585" i="17" s="1"/>
  <c r="F586" i="17" a="1"/>
  <c r="F586" i="17"/>
  <c r="F587" i="17" a="1"/>
  <c r="F587" i="17"/>
  <c r="F588" i="17" a="1"/>
  <c r="F588" i="17" s="1"/>
  <c r="F589" i="17" a="1"/>
  <c r="F589" i="17" s="1"/>
  <c r="F590" i="17" a="1"/>
  <c r="F590" i="17"/>
  <c r="F591" i="17" a="1"/>
  <c r="F591" i="17" s="1"/>
  <c r="F592" i="17" a="1"/>
  <c r="F592" i="17" s="1"/>
  <c r="F593" i="17" a="1"/>
  <c r="F593" i="17"/>
  <c r="F594" i="17" a="1"/>
  <c r="F594" i="17" s="1"/>
  <c r="F595" i="17" a="1"/>
  <c r="F595" i="17" s="1"/>
  <c r="F596" i="17" a="1"/>
  <c r="F596" i="17"/>
  <c r="F597" i="17" a="1"/>
  <c r="F597" i="17" s="1"/>
  <c r="F598" i="17" a="1"/>
  <c r="F598" i="17" s="1"/>
  <c r="F599" i="17" a="1"/>
  <c r="F599" i="17" s="1"/>
  <c r="F600" i="17" a="1"/>
  <c r="F600" i="17"/>
  <c r="F601" i="17" a="1"/>
  <c r="F601" i="17"/>
  <c r="F602" i="17" a="1"/>
  <c r="F602" i="17"/>
  <c r="F603" i="17" a="1"/>
  <c r="F603" i="17" s="1"/>
  <c r="F604" i="17" a="1"/>
  <c r="F604" i="17" s="1"/>
  <c r="F605" i="17" a="1"/>
  <c r="F605" i="17" s="1"/>
  <c r="F606" i="17" a="1"/>
  <c r="F606" i="17" s="1"/>
  <c r="F607" i="17" a="1"/>
  <c r="F607" i="17"/>
  <c r="F608" i="17" a="1"/>
  <c r="F608" i="17"/>
  <c r="F609" i="17" a="1"/>
  <c r="F609" i="17" s="1"/>
  <c r="F610" i="17" a="1"/>
  <c r="F610" i="17" s="1"/>
  <c r="F611" i="17" a="1"/>
  <c r="F611" i="17" s="1"/>
  <c r="F612" i="17" a="1"/>
  <c r="F612" i="17" s="1"/>
  <c r="F613" i="17" a="1"/>
  <c r="F613" i="17" s="1"/>
  <c r="F614" i="17" a="1"/>
  <c r="F614" i="17" s="1"/>
  <c r="F615" i="17" a="1"/>
  <c r="F615" i="17" s="1"/>
  <c r="F616" i="17" a="1"/>
  <c r="F616" i="17" s="1"/>
  <c r="F617" i="17" a="1"/>
  <c r="F617" i="17" s="1"/>
  <c r="F618" i="17" a="1"/>
  <c r="F618" i="17"/>
  <c r="F619" i="17" a="1"/>
  <c r="F619" i="17" s="1"/>
  <c r="F620" i="17" a="1"/>
  <c r="F620" i="17" s="1"/>
  <c r="F621" i="17" a="1"/>
  <c r="F621" i="17" s="1"/>
  <c r="F622" i="17" a="1"/>
  <c r="F622" i="17" s="1"/>
  <c r="F623" i="17" a="1"/>
  <c r="F623" i="17"/>
  <c r="F624" i="17" a="1"/>
  <c r="F624" i="17" s="1"/>
  <c r="F625" i="17" a="1"/>
  <c r="F625" i="17" s="1"/>
  <c r="F626" i="17" a="1"/>
  <c r="F626" i="17" s="1"/>
  <c r="F627" i="17" a="1"/>
  <c r="F627" i="17" s="1"/>
  <c r="F628" i="17" a="1"/>
  <c r="F628" i="17" s="1"/>
  <c r="F629" i="17" a="1"/>
  <c r="F629" i="17" s="1"/>
  <c r="F630" i="17" a="1"/>
  <c r="F630" i="17" s="1"/>
  <c r="F631" i="17" a="1"/>
  <c r="F631" i="17"/>
  <c r="F632" i="17" a="1"/>
  <c r="F632" i="17"/>
  <c r="F633" i="17" a="1"/>
  <c r="F633" i="17" s="1"/>
  <c r="F634" i="17" a="1"/>
  <c r="F634" i="17" s="1"/>
  <c r="F635" i="17" a="1"/>
  <c r="F635" i="17"/>
  <c r="F636" i="17" a="1"/>
  <c r="F636" i="17" s="1"/>
  <c r="F637" i="17" a="1"/>
  <c r="F637" i="17" s="1"/>
  <c r="F638" i="17" a="1"/>
  <c r="F638" i="17" s="1"/>
  <c r="F639" i="17" a="1"/>
  <c r="F639" i="17" s="1"/>
  <c r="F640" i="17" a="1"/>
  <c r="F640" i="17"/>
  <c r="F641" i="17" a="1"/>
  <c r="F641" i="17" s="1"/>
  <c r="F642" i="17" a="1"/>
  <c r="F642" i="17" s="1"/>
  <c r="F643" i="17" a="1"/>
  <c r="F643" i="17" s="1"/>
  <c r="F644" i="17" a="1"/>
  <c r="F644" i="17" s="1"/>
  <c r="F645" i="17" a="1"/>
  <c r="F645" i="17" s="1"/>
  <c r="F646" i="17" a="1"/>
  <c r="F646" i="17" s="1"/>
  <c r="F647" i="17" a="1"/>
  <c r="F647" i="17"/>
  <c r="F648" i="17" a="1"/>
  <c r="F648" i="17" s="1"/>
  <c r="F649" i="17" a="1"/>
  <c r="F649" i="17"/>
  <c r="F650" i="17" a="1"/>
  <c r="F650" i="17" s="1"/>
  <c r="F651" i="17" a="1"/>
  <c r="F651" i="17" s="1"/>
  <c r="F652" i="17" a="1"/>
  <c r="F652" i="17" s="1"/>
  <c r="F653" i="17" a="1"/>
  <c r="F653" i="17" s="1"/>
  <c r="F654" i="17" a="1"/>
  <c r="F654" i="17" s="1"/>
  <c r="F655" i="17" a="1"/>
  <c r="F655" i="17" s="1"/>
  <c r="F656" i="17" a="1"/>
  <c r="F656" i="17" s="1"/>
  <c r="F657" i="17" a="1"/>
  <c r="F657" i="17" s="1"/>
  <c r="F658" i="17" a="1"/>
  <c r="F658" i="17"/>
  <c r="F659" i="17" a="1"/>
  <c r="F659" i="17"/>
  <c r="F660" i="17" a="1"/>
  <c r="F660" i="17" s="1"/>
  <c r="F661" i="17" a="1"/>
  <c r="F661" i="17" s="1"/>
  <c r="F662" i="17" a="1"/>
  <c r="F662" i="17" s="1"/>
  <c r="F663" i="17" a="1"/>
  <c r="F663" i="17" s="1"/>
  <c r="F664" i="17" a="1"/>
  <c r="F664" i="17"/>
  <c r="F665" i="17" a="1"/>
  <c r="F665" i="17" s="1"/>
  <c r="F666" i="17" a="1"/>
  <c r="F666" i="17"/>
  <c r="F667" i="17" a="1"/>
  <c r="F667" i="17"/>
  <c r="F668" i="17" a="1"/>
  <c r="F668" i="17" s="1"/>
  <c r="F669" i="17" a="1"/>
  <c r="F669" i="17" s="1"/>
  <c r="F670" i="17" a="1"/>
  <c r="F670" i="17" s="1"/>
  <c r="F671" i="17" a="1"/>
  <c r="F671" i="17" s="1"/>
  <c r="F672" i="17" a="1"/>
  <c r="F672" i="17"/>
  <c r="F673" i="17" a="1"/>
  <c r="F673" i="17" s="1"/>
  <c r="F674" i="17" a="1"/>
  <c r="F674" i="17"/>
  <c r="F675" i="17" a="1"/>
  <c r="F675" i="17" s="1"/>
  <c r="F676" i="17" a="1"/>
  <c r="F676" i="17" s="1"/>
  <c r="F677" i="17" a="1"/>
  <c r="F677" i="17" s="1"/>
  <c r="F678" i="17" a="1"/>
  <c r="F678" i="17" s="1"/>
  <c r="F679" i="17" a="1"/>
  <c r="F679" i="17" s="1"/>
  <c r="F680" i="17" a="1"/>
  <c r="F680" i="17"/>
  <c r="F681" i="17" a="1"/>
  <c r="F681" i="17" s="1"/>
  <c r="F682" i="17" a="1"/>
  <c r="F682" i="17"/>
  <c r="F683" i="17" a="1"/>
  <c r="F683" i="17" s="1"/>
  <c r="F684" i="17" a="1"/>
  <c r="F684" i="17" s="1"/>
  <c r="F685" i="17" a="1"/>
  <c r="F685" i="17" s="1"/>
  <c r="F686" i="17" a="1"/>
  <c r="F686" i="17" s="1"/>
  <c r="F687" i="17" a="1"/>
  <c r="F687" i="17" s="1"/>
  <c r="F688" i="17" a="1"/>
  <c r="F688" i="17" s="1"/>
  <c r="F689" i="17" a="1"/>
  <c r="F689" i="17" s="1"/>
  <c r="F690" i="17" a="1"/>
  <c r="F690" i="17" s="1"/>
  <c r="F691" i="17" a="1"/>
  <c r="F691" i="17" s="1"/>
  <c r="F692" i="17" a="1"/>
  <c r="F692" i="17" s="1"/>
  <c r="F693" i="17" a="1"/>
  <c r="F693" i="17" s="1"/>
  <c r="F694" i="17" a="1"/>
  <c r="F694" i="17" s="1"/>
  <c r="F695" i="17" a="1"/>
  <c r="F695" i="17" s="1"/>
  <c r="F696" i="17" a="1"/>
  <c r="F696" i="17" s="1"/>
  <c r="F697" i="17" a="1"/>
  <c r="F697" i="17" s="1"/>
  <c r="F698" i="17" a="1"/>
  <c r="F698" i="17" s="1"/>
  <c r="F699" i="17" a="1"/>
  <c r="F699" i="17" s="1"/>
  <c r="F700" i="17" a="1"/>
  <c r="F700" i="17"/>
  <c r="F701" i="17" a="1"/>
  <c r="F701" i="17"/>
  <c r="F702" i="17" a="1"/>
  <c r="F702" i="17" s="1"/>
  <c r="F703" i="17" a="1"/>
  <c r="F703" i="17" s="1"/>
  <c r="F704" i="17" a="1"/>
  <c r="F704" i="17" s="1"/>
  <c r="F705" i="17" a="1"/>
  <c r="F705" i="17" s="1"/>
  <c r="F706" i="17" a="1"/>
  <c r="F706" i="17"/>
  <c r="F707" i="17" a="1"/>
  <c r="F707" i="17" s="1"/>
  <c r="F708" i="17" a="1"/>
  <c r="F708" i="17"/>
  <c r="F709" i="17" a="1"/>
  <c r="F709" i="17" s="1"/>
  <c r="F710" i="17" a="1"/>
  <c r="F710" i="17" s="1"/>
  <c r="F711" i="17" a="1"/>
  <c r="F711" i="17" s="1"/>
  <c r="F712" i="17" a="1"/>
  <c r="F712" i="17" s="1"/>
  <c r="F713" i="17" a="1"/>
  <c r="F713" i="17"/>
  <c r="F714" i="17" a="1"/>
  <c r="F714" i="17"/>
  <c r="F715" i="17" a="1"/>
  <c r="F715" i="17" s="1"/>
  <c r="F716" i="17" a="1"/>
  <c r="F716" i="17" s="1"/>
  <c r="F717" i="17" a="1"/>
  <c r="F717" i="17" s="1"/>
  <c r="F718" i="17" a="1"/>
  <c r="F718" i="17" s="1"/>
  <c r="F719" i="17" a="1"/>
  <c r="F719" i="17" s="1"/>
  <c r="F720" i="17" a="1"/>
  <c r="F720" i="17"/>
  <c r="F721" i="17" a="1"/>
  <c r="F721" i="17"/>
  <c r="F722" i="17" a="1"/>
  <c r="F722" i="17" s="1"/>
  <c r="F723" i="17" a="1"/>
  <c r="F723" i="17" s="1"/>
  <c r="F724" i="17" a="1"/>
  <c r="F724" i="17" s="1"/>
  <c r="F725" i="17" a="1"/>
  <c r="F725" i="17" s="1"/>
  <c r="F726" i="17" a="1"/>
  <c r="F726" i="17" s="1"/>
  <c r="F727" i="17" a="1"/>
  <c r="F727" i="17" s="1"/>
  <c r="F728" i="17" a="1"/>
  <c r="F728" i="17" s="1"/>
  <c r="F729" i="17" a="1"/>
  <c r="F729" i="17" s="1"/>
  <c r="F730" i="17" a="1"/>
  <c r="F730" i="17"/>
  <c r="F731" i="17" a="1"/>
  <c r="F731" i="17" s="1"/>
  <c r="F732" i="17" a="1"/>
  <c r="F732" i="17"/>
  <c r="F733" i="17" a="1"/>
  <c r="F733" i="17" s="1"/>
  <c r="F734" i="17" a="1"/>
  <c r="F734" i="17" s="1"/>
  <c r="F735" i="17" a="1"/>
  <c r="F735" i="17" s="1"/>
  <c r="F736" i="17" a="1"/>
  <c r="F736" i="17"/>
  <c r="F737" i="17" a="1"/>
  <c r="F737" i="17"/>
  <c r="F738" i="17" a="1"/>
  <c r="F738" i="17"/>
  <c r="F739" i="17" a="1"/>
  <c r="F739" i="17" s="1"/>
  <c r="F740" i="17" a="1"/>
  <c r="F740" i="17"/>
  <c r="F741" i="17" a="1"/>
  <c r="F741" i="17" s="1"/>
  <c r="F742" i="17" a="1"/>
  <c r="F742" i="17" s="1"/>
  <c r="F743" i="17" a="1"/>
  <c r="F743" i="17" s="1"/>
  <c r="F744" i="17" a="1"/>
  <c r="F744" i="17"/>
  <c r="F745" i="17" a="1"/>
  <c r="F745" i="17"/>
  <c r="F746" i="17" a="1"/>
  <c r="F746" i="17" s="1"/>
  <c r="F747" i="17" a="1"/>
  <c r="F747" i="17" s="1"/>
  <c r="F748" i="17" a="1"/>
  <c r="F748" i="17" s="1"/>
  <c r="F749" i="17" a="1"/>
  <c r="F749" i="17"/>
  <c r="F750" i="17" a="1"/>
  <c r="F750" i="17" s="1"/>
  <c r="F751" i="17" a="1"/>
  <c r="F751" i="17"/>
  <c r="F752" i="17" a="1"/>
  <c r="F752" i="17"/>
  <c r="F753" i="17" a="1"/>
  <c r="F753" i="17" s="1"/>
  <c r="F754" i="17" a="1"/>
  <c r="F754" i="17" s="1"/>
  <c r="F755" i="17" a="1"/>
  <c r="F755" i="17" s="1"/>
  <c r="F756" i="17" a="1"/>
  <c r="F756" i="17"/>
  <c r="F757" i="17" a="1"/>
  <c r="F757" i="17"/>
  <c r="F758" i="17" a="1"/>
  <c r="F758" i="17" s="1"/>
  <c r="F759" i="17" a="1"/>
  <c r="F759" i="17" s="1"/>
  <c r="F760" i="17" a="1"/>
  <c r="F760" i="17"/>
  <c r="F761" i="17" a="1"/>
  <c r="F761" i="17" s="1"/>
  <c r="F762" i="17" a="1"/>
  <c r="F762" i="17" s="1"/>
  <c r="F763" i="17" a="1"/>
  <c r="F763" i="17"/>
  <c r="F764" i="17" a="1"/>
  <c r="F764" i="17"/>
  <c r="F765" i="17" a="1"/>
  <c r="F765" i="17" s="1"/>
  <c r="F766" i="17" a="1"/>
  <c r="F766" i="17" s="1"/>
  <c r="F767" i="17" a="1"/>
  <c r="F767" i="17" s="1"/>
  <c r="F768" i="17" a="1"/>
  <c r="F768" i="17" s="1"/>
  <c r="F769" i="17" a="1"/>
  <c r="F769" i="17" s="1"/>
  <c r="F770" i="17" a="1"/>
  <c r="F770" i="17" s="1"/>
  <c r="F771" i="17" a="1"/>
  <c r="F771" i="17" s="1"/>
  <c r="F772" i="17" a="1"/>
  <c r="F772" i="17"/>
  <c r="F773" i="17" a="1"/>
  <c r="F773" i="17" s="1"/>
  <c r="F774" i="17" a="1"/>
  <c r="F774" i="17" s="1"/>
  <c r="F775" i="17" a="1"/>
  <c r="F775" i="17" s="1"/>
  <c r="F776" i="17" a="1"/>
  <c r="F776" i="17" s="1"/>
  <c r="F777" i="17" a="1"/>
  <c r="F777" i="17" s="1"/>
  <c r="F778" i="17" a="1"/>
  <c r="F778" i="17"/>
  <c r="F779" i="17" a="1"/>
  <c r="F779" i="17" s="1"/>
  <c r="F780" i="17" a="1"/>
  <c r="F780" i="17" s="1"/>
  <c r="F781" i="17" a="1"/>
  <c r="F781" i="17" s="1"/>
  <c r="F782" i="17" a="1"/>
  <c r="F782" i="17" s="1"/>
  <c r="F783" i="17" a="1"/>
  <c r="F783" i="17" s="1"/>
  <c r="F784" i="17" a="1"/>
  <c r="F784" i="17" s="1"/>
  <c r="F785" i="17" a="1"/>
  <c r="F785" i="17" s="1"/>
  <c r="F786" i="17" a="1"/>
  <c r="F786" i="17"/>
  <c r="F787" i="17" a="1"/>
  <c r="F787" i="17" s="1"/>
  <c r="F788" i="17" a="1"/>
  <c r="F788" i="17" s="1"/>
  <c r="F789" i="17" a="1"/>
  <c r="F789" i="17" s="1"/>
  <c r="F790" i="17" a="1"/>
  <c r="F790" i="17" s="1"/>
  <c r="F791" i="17" a="1"/>
  <c r="F791" i="17"/>
  <c r="F792" i="17" a="1"/>
  <c r="F792" i="17" s="1"/>
  <c r="F793" i="17" a="1"/>
  <c r="F793" i="17" s="1"/>
  <c r="F794" i="17" a="1"/>
  <c r="F794" i="17" s="1"/>
  <c r="F795" i="17" a="1"/>
  <c r="F795" i="17" s="1"/>
  <c r="F796" i="17" a="1"/>
  <c r="F796" i="17"/>
  <c r="F797" i="17" a="1"/>
  <c r="F797" i="17" s="1"/>
  <c r="F798" i="17" a="1"/>
  <c r="F798" i="17"/>
  <c r="F799" i="17" a="1"/>
  <c r="F799" i="17" s="1"/>
  <c r="F800" i="17" a="1"/>
  <c r="F800" i="17" s="1"/>
  <c r="F801" i="17" a="1"/>
  <c r="F801" i="17" s="1"/>
  <c r="F802" i="17" a="1"/>
  <c r="F802" i="17" s="1"/>
  <c r="F803" i="17" a="1"/>
  <c r="F803" i="17" s="1"/>
  <c r="F804" i="17" a="1"/>
  <c r="F804" i="17" s="1"/>
  <c r="F805" i="17" a="1"/>
  <c r="F805" i="17"/>
  <c r="F806" i="17" a="1"/>
  <c r="F806" i="17"/>
  <c r="F807" i="17" a="1"/>
  <c r="F807" i="17" s="1"/>
  <c r="F808" i="17" a="1"/>
  <c r="F808" i="17" s="1"/>
  <c r="F809" i="17" a="1"/>
  <c r="F809" i="17"/>
  <c r="F810" i="17" a="1"/>
  <c r="F810" i="17" s="1"/>
  <c r="F811" i="17" a="1"/>
  <c r="F811" i="17" s="1"/>
  <c r="F812" i="17" a="1"/>
  <c r="F812" i="17"/>
  <c r="F813" i="17" a="1"/>
  <c r="F813" i="17" s="1"/>
  <c r="F814" i="17" a="1"/>
  <c r="F814" i="17" s="1"/>
  <c r="F815" i="17" a="1"/>
  <c r="F815" i="17" s="1"/>
  <c r="F816" i="17" a="1"/>
  <c r="F816" i="17" s="1"/>
  <c r="F817" i="17" a="1"/>
  <c r="F817" i="17" s="1"/>
  <c r="F818" i="17" a="1"/>
  <c r="F818" i="17"/>
  <c r="F819" i="17" a="1"/>
  <c r="F819" i="17" s="1"/>
  <c r="F820" i="17" a="1"/>
  <c r="F820" i="17" s="1"/>
  <c r="F821" i="17" a="1"/>
  <c r="F821" i="17"/>
  <c r="F822" i="17" a="1"/>
  <c r="F822" i="17" s="1"/>
  <c r="F823" i="17" a="1"/>
  <c r="F823" i="17" s="1"/>
  <c r="F824" i="17" a="1"/>
  <c r="F824" i="17" s="1"/>
  <c r="F825" i="17" a="1"/>
  <c r="F825" i="17" s="1"/>
  <c r="F826" i="17" a="1"/>
  <c r="F826" i="17"/>
  <c r="F827" i="17" a="1"/>
  <c r="F827" i="17" s="1"/>
  <c r="F828" i="17" a="1"/>
  <c r="F828" i="17" s="1"/>
  <c r="F829" i="17" a="1"/>
  <c r="F829" i="17"/>
  <c r="F830" i="17" a="1"/>
  <c r="F830" i="17" s="1"/>
  <c r="F831" i="17" a="1"/>
  <c r="F831" i="17" s="1"/>
  <c r="F832" i="17" a="1"/>
  <c r="F832" i="17" s="1"/>
  <c r="F833" i="17" a="1"/>
  <c r="F833" i="17"/>
  <c r="F834" i="17" a="1"/>
  <c r="F834" i="17"/>
  <c r="F835" i="17" a="1"/>
  <c r="F835" i="17" s="1"/>
  <c r="F836" i="17" a="1"/>
  <c r="F836" i="17" s="1"/>
  <c r="F837" i="17" a="1"/>
  <c r="F837" i="17" s="1"/>
  <c r="F838" i="17" a="1"/>
  <c r="F838" i="17"/>
  <c r="F839" i="17" a="1"/>
  <c r="F839" i="17" s="1"/>
  <c r="F840" i="17" a="1"/>
  <c r="F840" i="17"/>
  <c r="F841" i="17" a="1"/>
  <c r="F841" i="17" s="1"/>
  <c r="F842" i="17" a="1"/>
  <c r="F842" i="17"/>
  <c r="F843" i="17" a="1"/>
  <c r="F843" i="17" s="1"/>
  <c r="F844" i="17" a="1"/>
  <c r="F844" i="17" s="1"/>
  <c r="F845" i="17" a="1"/>
  <c r="F845" i="17"/>
  <c r="F846" i="17" a="1"/>
  <c r="F846" i="17" s="1"/>
  <c r="F847" i="17" a="1"/>
  <c r="F847" i="17" s="1"/>
  <c r="F848" i="17" a="1"/>
  <c r="F848" i="17"/>
  <c r="F849" i="17" a="1"/>
  <c r="F849" i="17" s="1"/>
  <c r="F850" i="17" a="1"/>
  <c r="F850" i="17" s="1"/>
  <c r="F851" i="17" a="1"/>
  <c r="F851" i="17"/>
  <c r="F852" i="17" a="1"/>
  <c r="F852" i="17" s="1"/>
  <c r="F853" i="17" a="1"/>
  <c r="F853" i="17" s="1"/>
  <c r="F854" i="17" a="1"/>
  <c r="F854" i="17" s="1"/>
  <c r="F855" i="17" a="1"/>
  <c r="F855" i="17" s="1"/>
  <c r="F856" i="17" a="1"/>
  <c r="F856" i="17" s="1"/>
  <c r="F857" i="17" a="1"/>
  <c r="F857" i="17" s="1"/>
  <c r="F858" i="17" a="1"/>
  <c r="F858" i="17"/>
  <c r="F859" i="17" a="1"/>
  <c r="F859" i="17"/>
  <c r="F860" i="17" a="1"/>
  <c r="F860" i="17" s="1"/>
  <c r="F861" i="17" a="1"/>
  <c r="F861" i="17" s="1"/>
  <c r="F862" i="17" a="1"/>
  <c r="F862" i="17" s="1"/>
  <c r="F863" i="17" a="1"/>
  <c r="F863" i="17" s="1"/>
  <c r="F864" i="17" a="1"/>
  <c r="F864" i="17" s="1"/>
  <c r="F865" i="17" a="1"/>
  <c r="F865" i="17"/>
  <c r="F866" i="17" a="1"/>
  <c r="F866" i="17"/>
  <c r="F867" i="17" a="1"/>
  <c r="F867" i="17" s="1"/>
  <c r="F868" i="17" a="1"/>
  <c r="F868" i="17" s="1"/>
  <c r="F869" i="17" a="1"/>
  <c r="F869" i="17" s="1"/>
  <c r="F870" i="17" a="1"/>
  <c r="F870" i="17" s="1"/>
  <c r="F871" i="17" a="1"/>
  <c r="F871" i="17"/>
  <c r="F872" i="17" a="1"/>
  <c r="F872" i="17"/>
  <c r="F873" i="17" a="1"/>
  <c r="F873" i="17" s="1"/>
  <c r="F874" i="17" a="1"/>
  <c r="F874" i="17" s="1"/>
  <c r="F875" i="17" a="1"/>
  <c r="F875" i="17"/>
  <c r="F876" i="17" a="1"/>
  <c r="F876" i="17" s="1"/>
  <c r="F877" i="17" a="1"/>
  <c r="F877" i="17" s="1"/>
  <c r="F878" i="17" a="1"/>
  <c r="F878" i="17"/>
  <c r="F879" i="17" a="1"/>
  <c r="F879" i="17" s="1"/>
  <c r="F880" i="17" a="1"/>
  <c r="F880" i="17" s="1"/>
  <c r="F881" i="17" a="1"/>
  <c r="F881" i="17"/>
  <c r="F882" i="17" a="1"/>
  <c r="F882" i="17" s="1"/>
  <c r="F883" i="17" a="1"/>
  <c r="F883" i="17" s="1"/>
  <c r="F884" i="17" a="1"/>
  <c r="F884" i="17"/>
  <c r="F885" i="17" a="1"/>
  <c r="F885" i="17" s="1"/>
  <c r="F886" i="17" a="1"/>
  <c r="F886" i="17"/>
  <c r="F887" i="17" a="1"/>
  <c r="F887" i="17" s="1"/>
  <c r="F888" i="17" a="1"/>
  <c r="F888" i="17" s="1"/>
  <c r="F889" i="17" a="1"/>
  <c r="F889" i="17" s="1"/>
  <c r="F890" i="17" a="1"/>
  <c r="F890" i="17"/>
  <c r="F891" i="17" a="1"/>
  <c r="F891" i="17" s="1"/>
  <c r="F892" i="17" a="1"/>
  <c r="F892" i="17"/>
  <c r="F893" i="17" a="1"/>
  <c r="F893" i="17" s="1"/>
  <c r="F894" i="17" a="1"/>
  <c r="F894" i="17"/>
  <c r="F895" i="17" a="1"/>
  <c r="F895" i="17" s="1"/>
  <c r="F896" i="17" a="1"/>
  <c r="F896" i="17" s="1"/>
  <c r="F897" i="17" a="1"/>
  <c r="F897" i="17" s="1"/>
  <c r="F898" i="17" a="1"/>
  <c r="F898" i="17"/>
  <c r="F899" i="17" a="1"/>
  <c r="F899" i="17"/>
  <c r="F900" i="17" a="1"/>
  <c r="F900" i="17" s="1"/>
  <c r="F901" i="17" a="1"/>
  <c r="F901" i="17" s="1"/>
  <c r="F902" i="17" a="1"/>
  <c r="F902" i="17" s="1"/>
  <c r="F903" i="17" a="1"/>
  <c r="F903" i="17" s="1"/>
  <c r="F904" i="17" a="1"/>
  <c r="F904" i="17"/>
  <c r="F905" i="17" a="1"/>
  <c r="F905" i="17" s="1"/>
  <c r="F906" i="17" a="1"/>
  <c r="F906" i="17"/>
  <c r="F907" i="17" a="1"/>
  <c r="F907" i="17"/>
  <c r="F908" i="17" a="1"/>
  <c r="F908" i="17" s="1"/>
  <c r="F909" i="17" a="1"/>
  <c r="F909" i="17" s="1"/>
  <c r="F910" i="17" a="1"/>
  <c r="F910" i="17" s="1"/>
  <c r="F911" i="17" a="1"/>
  <c r="F911" i="17"/>
  <c r="F912" i="17" a="1"/>
  <c r="F912" i="17" s="1"/>
  <c r="F913" i="17" a="1"/>
  <c r="F913" i="17" s="1"/>
  <c r="F914" i="17" a="1"/>
  <c r="F914" i="17"/>
  <c r="F915" i="17" a="1"/>
  <c r="F915" i="17" s="1"/>
  <c r="F916" i="17" a="1"/>
  <c r="F916" i="17" s="1"/>
  <c r="F917" i="17" a="1"/>
  <c r="F917" i="17" s="1"/>
  <c r="F918" i="17" a="1"/>
  <c r="F918" i="17"/>
  <c r="F919" i="17" a="1"/>
  <c r="F919" i="17"/>
  <c r="F920" i="17" a="1"/>
  <c r="F920" i="17"/>
  <c r="F921" i="17" a="1"/>
  <c r="F921" i="17" s="1"/>
  <c r="F922" i="17" a="1"/>
  <c r="F922" i="17" s="1"/>
  <c r="F923" i="17" a="1"/>
  <c r="F923" i="17" s="1"/>
  <c r="F924" i="17" a="1"/>
  <c r="F924" i="17"/>
  <c r="F925" i="17" a="1"/>
  <c r="F925" i="17" s="1"/>
  <c r="F926" i="17" a="1"/>
  <c r="F926" i="17" s="1"/>
  <c r="F927" i="17" a="1"/>
  <c r="F927" i="17" s="1"/>
  <c r="F928" i="17" a="1"/>
  <c r="F928" i="17" s="1"/>
  <c r="F929" i="17" a="1"/>
  <c r="F929" i="17" s="1"/>
  <c r="F930" i="17" a="1"/>
  <c r="F930" i="17"/>
  <c r="F931" i="17" a="1"/>
  <c r="F931" i="17" s="1"/>
  <c r="F932" i="17" a="1"/>
  <c r="F932" i="17"/>
  <c r="F933" i="17" a="1"/>
  <c r="F933" i="17" s="1"/>
  <c r="F934" i="17" a="1"/>
  <c r="F934" i="17" s="1"/>
  <c r="F935" i="17" a="1"/>
  <c r="F935" i="17" s="1"/>
  <c r="F936" i="17" a="1"/>
  <c r="F936" i="17"/>
  <c r="F937" i="17" a="1"/>
  <c r="F937" i="17"/>
  <c r="F938" i="17" a="1"/>
  <c r="F938" i="17" s="1"/>
  <c r="F939" i="17" a="1"/>
  <c r="F939" i="17" s="1"/>
  <c r="F940" i="17" a="1"/>
  <c r="F940" i="17"/>
  <c r="F941" i="17" a="1"/>
  <c r="F941" i="17" s="1"/>
  <c r="F942" i="17" a="1"/>
  <c r="F942" i="17" s="1"/>
  <c r="F943" i="17" a="1"/>
  <c r="F943" i="17"/>
  <c r="F944" i="17" a="1"/>
  <c r="F944" i="17"/>
  <c r="F945" i="17" a="1"/>
  <c r="F945" i="17" s="1"/>
  <c r="F946" i="17" a="1"/>
  <c r="F946" i="17" s="1"/>
  <c r="F947" i="17" a="1"/>
  <c r="F947" i="17" s="1"/>
  <c r="F948" i="17" a="1"/>
  <c r="F948" i="17" s="1"/>
  <c r="F949" i="17" a="1"/>
  <c r="F949" i="17"/>
  <c r="F950" i="17" a="1"/>
  <c r="F950" i="17" s="1"/>
  <c r="F951" i="17" a="1"/>
  <c r="F951" i="17" s="1"/>
  <c r="F952" i="17" a="1"/>
  <c r="F952" i="17"/>
  <c r="F953" i="17" a="1"/>
  <c r="F953" i="17" s="1"/>
  <c r="F954" i="17" a="1"/>
  <c r="F954" i="17" s="1"/>
  <c r="F955" i="17" a="1"/>
  <c r="F955" i="17" s="1"/>
  <c r="F956" i="17" a="1"/>
  <c r="F956" i="17"/>
  <c r="F957" i="17" a="1"/>
  <c r="F957" i="17" s="1"/>
  <c r="F958" i="17" a="1"/>
  <c r="F958" i="17" s="1"/>
  <c r="F959" i="17" a="1"/>
  <c r="F959" i="17" s="1"/>
  <c r="F960" i="17" a="1"/>
  <c r="F960" i="17"/>
  <c r="F961" i="17" a="1"/>
  <c r="F961" i="17" s="1"/>
  <c r="F962" i="17" a="1"/>
  <c r="F962" i="17" s="1"/>
  <c r="F963" i="17" a="1"/>
  <c r="F963" i="17" s="1"/>
  <c r="F964" i="17" a="1"/>
  <c r="F964" i="17"/>
  <c r="F965" i="17" a="1"/>
  <c r="F965" i="17"/>
  <c r="F966" i="17" a="1"/>
  <c r="F966" i="17" s="1"/>
  <c r="F967" i="17" a="1"/>
  <c r="F967" i="17" s="1"/>
  <c r="F968" i="17" a="1"/>
  <c r="F968" i="17" s="1"/>
  <c r="F969" i="17" a="1"/>
  <c r="F969" i="17" s="1"/>
  <c r="F970" i="17" a="1"/>
  <c r="F970" i="17" s="1"/>
  <c r="F971" i="17" a="1"/>
  <c r="F971" i="17"/>
  <c r="F972" i="17" a="1"/>
  <c r="F972" i="17" s="1"/>
  <c r="F973" i="17" a="1"/>
  <c r="F973" i="17"/>
  <c r="F974" i="17" a="1"/>
  <c r="F974" i="17" s="1"/>
  <c r="F975" i="17" a="1"/>
  <c r="F975" i="17" s="1"/>
  <c r="F976" i="17" a="1"/>
  <c r="F976" i="17" s="1"/>
  <c r="F977" i="17" a="1"/>
  <c r="F977" i="17"/>
  <c r="F978" i="17" a="1"/>
  <c r="F978" i="17" s="1"/>
  <c r="F979" i="17" a="1"/>
  <c r="F979" i="17"/>
  <c r="F980" i="17" a="1"/>
  <c r="F980" i="17" s="1"/>
  <c r="F981" i="17" a="1"/>
  <c r="F981" i="17" s="1"/>
  <c r="F982" i="17" a="1"/>
  <c r="F982" i="17"/>
  <c r="F983" i="17" a="1"/>
  <c r="F983" i="17" s="1"/>
  <c r="F984" i="17" a="1"/>
  <c r="F984" i="17"/>
  <c r="F985" i="17" a="1"/>
  <c r="F985" i="17" s="1"/>
  <c r="F986" i="17" a="1"/>
  <c r="F986" i="17" s="1"/>
  <c r="F987" i="17" a="1"/>
  <c r="F987" i="17" s="1"/>
  <c r="F988" i="17" a="1"/>
  <c r="F988" i="17" s="1"/>
  <c r="F989" i="17" a="1"/>
  <c r="F989" i="17"/>
  <c r="F990" i="17" a="1"/>
  <c r="F990" i="17"/>
  <c r="F991" i="17" a="1"/>
  <c r="F991" i="17" s="1"/>
  <c r="F992" i="17" a="1"/>
  <c r="F992" i="17" s="1"/>
  <c r="F993" i="17" a="1"/>
  <c r="F993" i="17" s="1"/>
  <c r="F994" i="17" a="1"/>
  <c r="F994" i="17" s="1"/>
  <c r="F995" i="17" a="1"/>
  <c r="F995" i="17"/>
  <c r="F996" i="17" a="1"/>
  <c r="F996" i="17"/>
  <c r="F997" i="17" a="1"/>
  <c r="F997" i="17"/>
  <c r="F998" i="17" a="1"/>
  <c r="F998" i="17" s="1"/>
  <c r="F999" i="17" a="1"/>
  <c r="F999" i="17" s="1"/>
  <c r="F1000" i="17" a="1"/>
  <c r="F1000" i="17" s="1"/>
  <c r="F1001" i="17" a="1"/>
  <c r="F1001" i="17" s="1"/>
  <c r="F2" i="17" a="1"/>
  <c r="F2" i="1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<sst xmlns="http://schemas.openxmlformats.org/spreadsheetml/2006/main" count="11103" uniqueCount="6219">
  <si>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</si>
  <si>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</si>
  <si>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</si>
  <si>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</si>
  <si>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</si>
  <si>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</si>
  <si>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</si>
  <si>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</si>
  <si>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</si>
  <si>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</si>
  <si>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</si>
  <si>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</si>
  <si>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</si>
  <si>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</si>
  <si>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</si>
  <si>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</si>
  <si>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</si>
  <si>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</si>
  <si>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</si>
  <si>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</si>
  <si>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</si>
  <si>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</si>
  <si>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</si>
  <si>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</si>
  <si>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</si>
  <si>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</si>
  <si>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</si>
  <si>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</si>
  <si>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</si>
  <si>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</si>
  <si>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</si>
  <si>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</si>
  <si>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</si>
  <si>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</si>
  <si>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</si>
  <si>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</si>
  <si>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</si>
  <si>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</si>
  <si>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</si>
  <si>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</si>
  <si>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</si>
  <si>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</si>
  <si>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</si>
  <si>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</si>
  <si>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</si>
  <si>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</si>
  <si>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</si>
  <si>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</si>
  <si>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</si>
  <si>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</si>
  <si>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</si>
  <si>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</si>
  <si>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</si>
  <si>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</si>
  <si>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</si>
  <si>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</si>
  <si>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</si>
  <si>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</si>
  <si>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</si>
  <si>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</si>
  <si>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</si>
  <si>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</si>
  <si>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</si>
  <si>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</si>
  <si>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</si>
  <si>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</si>
  <si>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</si>
  <si>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</si>
  <si>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</si>
  <si>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</si>
  <si>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</si>
  <si>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</si>
  <si>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</si>
  <si>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</si>
  <si>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</si>
  <si>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</si>
  <si>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</si>
  <si>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</si>
  <si>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</si>
  <si>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</si>
  <si>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</si>
  <si>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</si>
  <si>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</si>
  <si>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</si>
  <si>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</si>
  <si>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</si>
  <si>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</si>
  <si>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</si>
  <si>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</si>
  <si>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</si>
  <si>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</si>
  <si>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</si>
  <si>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</si>
  <si>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</si>
  <si>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</si>
  <si>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</si>
  <si>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</si>
  <si>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</si>
  <si>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</si>
  <si>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</si>
  <si>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</si>
  <si>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</si>
  <si>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</si>
  <si>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</si>
  <si>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</si>
  <si>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</si>
  <si>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</si>
  <si>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</si>
  <si>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</si>
  <si>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</si>
  <si>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</si>
  <si>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</si>
  <si>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</si>
  <si>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</si>
  <si>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</si>
  <si>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</si>
  <si>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</si>
  <si>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</si>
  <si>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</si>
  <si>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</si>
  <si>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</si>
  <si>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</si>
  <si>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</si>
  <si>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</si>
  <si>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</si>
  <si>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</si>
  <si>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</si>
  <si>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</si>
  <si>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</si>
  <si>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</si>
  <si>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</si>
  <si>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</si>
  <si>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</si>
  <si>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</si>
  <si>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</si>
  <si>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</si>
  <si>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</si>
  <si>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</si>
  <si>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</si>
  <si>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</si>
  <si>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</si>
  <si>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</si>
  <si>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</si>
  <si>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</si>
  <si>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</si>
  <si>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</si>
  <si>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</si>
  <si>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</si>
  <si>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</si>
  <si>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</si>
  <si>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</si>
  <si>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</si>
  <si>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</si>
  <si>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</si>
  <si>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</si>
  <si>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</si>
  <si>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</si>
  <si>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</si>
  <si>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</si>
  <si>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</si>
  <si>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</si>
  <si>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</si>
  <si>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</si>
  <si>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</si>
  <si>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</si>
  <si>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</si>
  <si>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</si>
  <si>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</si>
  <si>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</si>
  <si>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</si>
  <si>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</si>
  <si>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</si>
  <si>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</si>
  <si>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</si>
  <si>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</si>
  <si>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</si>
  <si>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</si>
  <si>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</si>
  <si>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</si>
  <si>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</si>
  <si>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</si>
  <si>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</si>
  <si>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</si>
  <si>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</si>
  <si>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</si>
  <si>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</si>
  <si>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</si>
  <si>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</si>
  <si>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</si>
  <si>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</si>
  <si>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</si>
  <si>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</si>
  <si>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</si>
  <si>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</si>
  <si>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</si>
  <si>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</si>
  <si>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</si>
  <si>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</si>
  <si>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</si>
  <si>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</si>
  <si>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</si>
  <si>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</si>
  <si>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</si>
  <si>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</si>
  <si>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</si>
  <si>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</si>
  <si>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</si>
  <si>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</si>
  <si>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</si>
  <si>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</si>
  <si>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</si>
  <si>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</si>
  <si>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</si>
  <si>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</si>
  <si>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</si>
  <si>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</si>
  <si>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</si>
  <si>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</si>
  <si>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</si>
  <si>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</si>
  <si>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</si>
  <si>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</si>
  <si>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</si>
  <si>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</si>
  <si>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</si>
  <si>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</si>
  <si>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</si>
  <si>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</si>
  <si>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</si>
  <si>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</si>
  <si>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</si>
  <si>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</si>
  <si>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</si>
  <si>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</si>
  <si>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</si>
  <si>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</si>
  <si>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</si>
  <si>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</si>
  <si>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</si>
  <si>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</si>
  <si>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</si>
  <si>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</si>
  <si>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</si>
  <si>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</si>
  <si>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</si>
  <si>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</si>
  <si>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</si>
  <si>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</si>
  <si>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</si>
  <si>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</si>
  <si>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</si>
  <si>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</si>
  <si>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</si>
  <si>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</si>
  <si>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</si>
  <si>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</si>
  <si>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</si>
  <si>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</si>
  <si>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</si>
  <si>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</si>
  <si>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</si>
  <si>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</si>
  <si>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</si>
  <si>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</si>
  <si>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</si>
  <si>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</si>
  <si>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</si>
  <si>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</si>
  <si>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</si>
  <si>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</si>
  <si>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</si>
  <si>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</si>
  <si>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</si>
  <si>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</si>
  <si>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</si>
  <si>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</si>
  <si>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</si>
  <si>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</si>
  <si>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</si>
  <si>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</si>
  <si>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</si>
  <si>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</si>
  <si>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</si>
  <si>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</si>
  <si>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</si>
  <si>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</si>
  <si>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</si>
  <si>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</si>
  <si>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</si>
  <si>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</si>
  <si>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</si>
  <si>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</si>
  <si>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</si>
  <si>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</si>
  <si>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</si>
  <si>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</si>
  <si>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</si>
  <si>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</si>
  <si>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</si>
  <si>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</si>
  <si>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</si>
  <si>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</si>
  <si>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</si>
  <si>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</si>
  <si>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</si>
  <si>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</si>
  <si>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</si>
  <si>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</si>
  <si>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</si>
  <si>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</si>
  <si>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</si>
  <si>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</si>
  <si>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</si>
  <si>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</si>
  <si>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</si>
  <si>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</si>
  <si>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</si>
  <si>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</si>
  <si>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</si>
  <si>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</si>
  <si>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</si>
  <si>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</si>
  <si>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</si>
  <si>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</si>
  <si>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</si>
  <si>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</si>
  <si>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</si>
  <si>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</si>
  <si>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</si>
  <si>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</si>
  <si>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</si>
  <si>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</si>
  <si>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</si>
  <si>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</si>
  <si>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</si>
  <si>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</si>
  <si>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</si>
  <si>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</si>
  <si>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</si>
  <si>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</si>
  <si>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</si>
  <si>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</si>
  <si>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</si>
  <si>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</si>
  <si>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</si>
  <si>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</si>
  <si>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</si>
  <si>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</si>
  <si>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</si>
  <si>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</si>
  <si>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</si>
  <si>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</si>
  <si>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</si>
  <si>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</si>
  <si>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</si>
  <si>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</si>
  <si>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</si>
  <si>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</si>
  <si>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</si>
  <si>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</si>
  <si>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</si>
  <si>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</si>
  <si>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</si>
  <si>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</si>
  <si>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</si>
  <si>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</si>
  <si>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</si>
  <si>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</si>
  <si>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</si>
  <si>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</si>
  <si>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</si>
  <si>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</si>
  <si>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</si>
  <si>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</si>
  <si>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</si>
  <si>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</si>
  <si>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</si>
  <si>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</si>
  <si>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</si>
  <si>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</si>
  <si>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</si>
  <si>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</si>
  <si>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</si>
  <si>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</si>
  <si>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</si>
  <si>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</si>
  <si>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</si>
  <si>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</si>
  <si>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</si>
  <si>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</si>
  <si>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</si>
  <si>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</si>
  <si>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</si>
  <si>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</si>
  <si>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</si>
  <si>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</si>
  <si>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</si>
  <si>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</si>
  <si>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</si>
  <si>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</si>
  <si>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</si>
  <si>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</si>
  <si>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</si>
  <si>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</si>
  <si>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</si>
  <si>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</si>
  <si>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</si>
  <si>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</si>
  <si>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</si>
  <si>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</si>
  <si>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</si>
  <si>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</si>
  <si>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</si>
  <si>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</si>
  <si>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</si>
  <si>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</si>
  <si>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</si>
  <si>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</si>
  <si>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</si>
  <si>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</si>
  <si>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</si>
  <si>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</si>
  <si>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</si>
  <si>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</si>
  <si>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</si>
  <si>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</si>
  <si>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</si>
  <si>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</si>
  <si>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</si>
  <si>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</si>
  <si>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</si>
  <si>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</si>
  <si>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</si>
  <si>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</si>
  <si>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</si>
  <si>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</si>
  <si>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</si>
  <si>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</si>
  <si>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</si>
  <si>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</si>
  <si>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</si>
  <si>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</si>
  <si>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</si>
  <si>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</si>
  <si>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</si>
  <si>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</si>
  <si>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</si>
  <si>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</si>
  <si>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</si>
  <si>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</si>
  <si>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</si>
  <si>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</si>
  <si>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</si>
  <si>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</si>
  <si>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</si>
  <si>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</si>
  <si>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</si>
  <si>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</si>
  <si>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</si>
  <si>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</si>
  <si>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</si>
  <si>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</si>
  <si>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</si>
  <si>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</si>
  <si>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</si>
  <si>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</si>
  <si>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</si>
  <si>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</si>
  <si>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</si>
  <si>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</si>
  <si>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</si>
  <si>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</si>
  <si>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</si>
  <si>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</si>
  <si>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</si>
  <si>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</si>
  <si>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</si>
  <si>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</si>
  <si>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</si>
  <si>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</si>
  <si>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</si>
  <si>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</si>
  <si>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</si>
  <si>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</si>
  <si>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</si>
  <si>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</si>
  <si>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</si>
  <si>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</si>
  <si>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</si>
  <si>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</si>
  <si>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</si>
  <si>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</si>
  <si>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</si>
  <si>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</si>
  <si>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</si>
  <si>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</si>
  <si>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</si>
  <si>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</si>
  <si>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</si>
  <si>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</si>
  <si>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</si>
  <si>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</si>
  <si>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</si>
  <si>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</si>
  <si>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</si>
  <si>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</si>
  <si>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</si>
  <si>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</si>
  <si>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</si>
  <si>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</si>
  <si>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</si>
  <si>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</si>
  <si>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</si>
  <si>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</si>
  <si>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</si>
  <si>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</si>
  <si>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</si>
  <si>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</si>
  <si>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</si>
  <si>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</si>
  <si>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</si>
  <si>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</si>
  <si>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</si>
  <si>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</si>
  <si>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</si>
  <si>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</si>
  <si>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</si>
  <si>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</si>
  <si>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</si>
  <si>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</si>
  <si>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</si>
  <si>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</si>
  <si>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</si>
  <si>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</si>
  <si>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</si>
  <si>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</si>
  <si>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</si>
  <si>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</si>
  <si>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</si>
  <si>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</si>
  <si>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</si>
  <si>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</si>
  <si>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</si>
  <si>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</si>
  <si>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</si>
  <si>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</si>
  <si>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</si>
  <si>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</si>
  <si>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</si>
  <si>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</si>
  <si>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</si>
  <si>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</si>
  <si>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</si>
  <si>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</si>
  <si>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</si>
  <si>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</si>
  <si>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</si>
  <si>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</si>
  <si>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</si>
  <si>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</si>
  <si>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</si>
  <si>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</si>
  <si>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</si>
  <si>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</si>
  <si>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</si>
  <si>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</si>
  <si>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</si>
  <si>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</si>
  <si>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</si>
  <si>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</si>
  <si>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</si>
  <si>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</si>
  <si>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</si>
  <si>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</si>
  <si>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</si>
  <si>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</si>
  <si>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</si>
  <si>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</si>
  <si>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</si>
  <si>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</si>
  <si>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</si>
  <si>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</si>
  <si>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</si>
  <si>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</si>
  <si>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</si>
  <si>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</si>
  <si>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</si>
  <si>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</si>
  <si>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</si>
  <si>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</si>
  <si>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</si>
  <si>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</si>
  <si>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</si>
  <si>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</si>
  <si>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</si>
  <si>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</si>
  <si>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</si>
  <si>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</si>
  <si>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</si>
  <si>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</si>
  <si>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</si>
  <si>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</si>
  <si>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</si>
  <si>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</si>
  <si>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</si>
  <si>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</si>
  <si>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</si>
  <si>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</si>
  <si>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</si>
  <si>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</si>
  <si>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</si>
  <si>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</si>
  <si>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</si>
  <si>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</si>
  <si>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</si>
  <si>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</si>
  <si>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</si>
  <si>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</si>
  <si>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</si>
  <si>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</si>
  <si>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</si>
  <si>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</si>
  <si>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</si>
  <si>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</si>
  <si>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</si>
  <si>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</si>
  <si>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</si>
  <si>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</si>
  <si>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</si>
  <si>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</si>
  <si>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</si>
  <si>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</si>
  <si>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</si>
  <si>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</si>
  <si>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</si>
  <si>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</si>
  <si>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</si>
  <si>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</si>
  <si>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</si>
  <si>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</si>
  <si>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</si>
  <si>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</si>
  <si>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</si>
  <si>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</si>
  <si>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</si>
  <si>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</si>
  <si>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</si>
  <si>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</si>
  <si>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</si>
  <si>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</si>
  <si>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</si>
  <si>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</si>
  <si>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</si>
  <si>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</si>
  <si>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</si>
  <si>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</si>
  <si>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</si>
  <si>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</si>
  <si>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</si>
  <si>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</si>
  <si>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</si>
  <si>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</si>
  <si>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</si>
  <si>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</si>
  <si>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</si>
  <si>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</si>
  <si>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</si>
  <si>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</si>
  <si>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</si>
  <si>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</si>
  <si>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</si>
  <si>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</si>
  <si>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</si>
  <si>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</si>
  <si>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</si>
  <si>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</si>
  <si>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</si>
  <si>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</si>
  <si>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</si>
  <si>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</si>
  <si>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</si>
  <si>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</si>
  <si>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</si>
  <si>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</si>
  <si>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</si>
  <si>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</si>
  <si>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</si>
  <si>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</si>
  <si>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</si>
  <si>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</si>
  <si>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</si>
  <si>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</si>
  <si>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</si>
  <si>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</si>
  <si>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</si>
  <si>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</si>
  <si>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</si>
  <si>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</si>
  <si>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</si>
  <si>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</si>
  <si>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</si>
  <si>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</si>
  <si>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</si>
  <si>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</si>
  <si>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</si>
  <si>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</si>
  <si>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</si>
  <si>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</si>
  <si>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</si>
  <si>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</si>
  <si>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</si>
  <si>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</si>
  <si>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</si>
  <si>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</si>
  <si>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</si>
  <si>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</si>
  <si>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</si>
  <si>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</si>
  <si>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</si>
  <si>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</si>
  <si>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</si>
  <si>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</si>
  <si>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</si>
  <si>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</si>
  <si>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</si>
  <si>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</si>
  <si>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</si>
  <si>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</si>
  <si>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</si>
  <si>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</si>
  <si>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</si>
  <si>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</si>
  <si>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</si>
  <si>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</si>
  <si>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</si>
  <si>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</si>
  <si>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</si>
  <si>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</si>
  <si>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</si>
  <si>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</si>
  <si>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</si>
  <si>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</si>
  <si>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</si>
  <si>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</si>
  <si>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</si>
  <si>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</si>
  <si>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</si>
  <si>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</si>
  <si>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</si>
  <si>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</si>
  <si>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</si>
  <si>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</si>
  <si>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</si>
  <si>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</si>
  <si>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</si>
  <si>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</si>
  <si>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</si>
  <si>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</si>
  <si>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</si>
  <si>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</si>
  <si>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</si>
  <si>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</si>
  <si>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</si>
  <si>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</si>
  <si>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</si>
  <si>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</si>
  <si>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</si>
  <si>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</si>
  <si>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</si>
  <si>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</si>
  <si>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</si>
  <si>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</si>
  <si>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</si>
  <si>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</si>
  <si>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</si>
  <si>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</si>
  <si>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</si>
  <si>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</si>
  <si>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</si>
  <si>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</si>
  <si>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</si>
  <si>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</si>
  <si>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</si>
  <si>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</si>
  <si>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</si>
  <si>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</si>
  <si>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</si>
  <si>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</si>
  <si>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</si>
  <si>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</si>
  <si>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</si>
  <si>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</si>
  <si>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</si>
  <si>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</si>
  <si>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</si>
  <si>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</si>
  <si>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</si>
  <si>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</si>
  <si>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</si>
  <si>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</si>
  <si>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</si>
  <si>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</si>
  <si>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</si>
  <si>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</si>
  <si>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</si>
  <si>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</si>
  <si>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</si>
  <si>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</si>
  <si>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</si>
  <si>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</si>
  <si>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</si>
  <si>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</si>
  <si>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</si>
  <si>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</si>
  <si>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</si>
  <si>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</si>
  <si>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</si>
  <si>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</si>
  <si>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</si>
  <si>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</si>
  <si>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</si>
  <si>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</si>
  <si>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</si>
  <si>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</si>
  <si>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</si>
  <si>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</si>
  <si>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</si>
  <si>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</si>
  <si>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</si>
  <si>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</si>
  <si>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</si>
  <si>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</si>
  <si>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</si>
  <si>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</si>
  <si>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</si>
  <si>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</si>
  <si>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</si>
  <si>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</si>
  <si>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</si>
  <si>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</si>
  <si>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</si>
  <si>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</si>
  <si>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</si>
  <si>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</si>
  <si>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</si>
  <si>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</si>
  <si>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</si>
  <si>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</si>
  <si>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</si>
  <si>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</si>
  <si>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</si>
  <si>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</si>
  <si>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</si>
  <si>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</si>
  <si>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</si>
  <si>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</si>
  <si>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</si>
  <si>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</si>
  <si>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</si>
  <si>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</si>
  <si>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</si>
  <si>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</si>
  <si>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</si>
  <si>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</si>
  <si>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</si>
  <si>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</si>
  <si>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</si>
  <si>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</si>
  <si>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</si>
  <si>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</si>
  <si>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</si>
  <si>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</si>
  <si>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</si>
  <si>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</si>
  <si>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</si>
  <si>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</si>
  <si>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</si>
  <si>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</si>
  <si>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</si>
  <si>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</si>
  <si>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</si>
  <si>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</si>
  <si>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</si>
  <si>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</si>
  <si>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</si>
  <si>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</si>
  <si>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</si>
  <si>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</si>
  <si>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</si>
  <si>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</si>
  <si>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</si>
  <si>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</si>
  <si>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</si>
  <si>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</si>
  <si>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</si>
  <si>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</si>
  <si>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</si>
  <si>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</si>
  <si>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</si>
  <si>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</si>
  <si>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</si>
  <si>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</si>
  <si>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</si>
  <si>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</si>
  <si>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</si>
  <si>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</si>
  <si>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</si>
  <si>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</si>
  <si>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</si>
  <si>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</si>
  <si>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</si>
  <si>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</si>
  <si>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</si>
  <si>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</si>
  <si>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</si>
  <si>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</si>
  <si>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</si>
  <si>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</si>
  <si>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</si>
  <si>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</si>
  <si>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</si>
  <si>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</si>
  <si>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</si>
  <si>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</si>
  <si>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</si>
  <si>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</si>
  <si>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</si>
  <si>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</si>
  <si>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</si>
  <si>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</si>
  <si>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</si>
  <si>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</si>
  <si>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</si>
  <si>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</si>
  <si>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</si>
  <si>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</si>
  <si>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</si>
  <si>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</si>
  <si>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</si>
  <si>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</si>
  <si>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</si>
  <si>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</si>
  <si>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</si>
  <si>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</si>
  <si>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</si>
  <si>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</si>
  <si>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</si>
  <si>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</si>
  <si>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</si>
  <si>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</si>
  <si>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</si>
  <si>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</si>
  <si>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</si>
  <si>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</si>
  <si>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</si>
  <si>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</si>
  <si>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</si>
  <si>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</si>
  <si>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</si>
  <si>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</si>
  <si>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</si>
  <si>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</si>
  <si>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</si>
  <si>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</si>
  <si>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</si>
  <si>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</si>
  <si>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</si>
  <si>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</si>
  <si>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</si>
  <si>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</si>
  <si>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</si>
  <si>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</si>
  <si>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</si>
  <si>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</si>
  <si>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</si>
  <si>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</si>
  <si>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</si>
  <si>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</si>
  <si>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</si>
  <si>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</si>
  <si>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</si>
  <si>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</si>
  <si>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</si>
  <si>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</si>
  <si>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</si>
  <si>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</si>
  <si>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</si>
  <si>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</si>
  <si>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</si>
  <si>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</si>
  <si>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</si>
  <si>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</si>
  <si>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</si>
  <si>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</si>
  <si>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</si>
  <si>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</si>
  <si>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</si>
  <si>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</si>
  <si>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</si>
  <si>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</si>
  <si>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</si>
  <si>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</si>
  <si>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</si>
  <si>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</si>
  <si>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</si>
  <si>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</si>
  <si>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</si>
  <si>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</si>
  <si>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</si>
  <si>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</si>
  <si>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</si>
  <si>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</si>
  <si>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</si>
  <si>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</si>
  <si>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</si>
  <si>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</si>
  <si>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</si>
  <si>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</si>
  <si>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</si>
  <si>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</si>
  <si>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</si>
  <si>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</si>
  <si>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</si>
  <si>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</si>
  <si>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</si>
  <si>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</si>
  <si>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</si>
  <si>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</si>
  <si>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</si>
  <si>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</si>
  <si>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</si>
  <si>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</si>
  <si>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</si>
  <si>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</si>
  <si>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</si>
  <si>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</si>
  <si>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</si>
  <si>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</si>
  <si>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</si>
  <si>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</si>
  <si>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</si>
  <si>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</si>
  <si>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</si>
  <si>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</si>
  <si>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</si>
  <si>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</si>
  <si>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</si>
  <si>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</si>
  <si>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</si>
  <si>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</si>
  <si>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</si>
  <si>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</si>
  <si>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</si>
  <si>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</si>
  <si>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</si>
  <si>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</si>
  <si>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</si>
  <si>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</si>
  <si>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</si>
  <si>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</si>
  <si>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</si>
  <si>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</si>
  <si>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</si>
  <si>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</si>
  <si>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</si>
  <si>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</si>
  <si>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</si>
  <si>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</si>
  <si>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</si>
  <si>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</si>
  <si>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</si>
  <si>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</si>
  <si>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</si>
  <si>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</si>
  <si>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</si>
  <si>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</si>
  <si>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</si>
  <si>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</si>
  <si>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</si>
  <si>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</si>
  <si>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</si>
  <si>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</si>
  <si>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</si>
  <si>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</si>
  <si>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</si>
  <si>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</si>
  <si>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</si>
  <si>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</si>
  <si>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</si>
  <si>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</si>
  <si>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</si>
  <si>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</si>
  <si>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</si>
  <si>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</si>
  <si>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</si>
  <si>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</si>
  <si>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</si>
  <si>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</si>
  <si>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</si>
  <si>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</si>
  <si>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</si>
  <si>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</si>
  <si>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</si>
  <si>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</si>
  <si>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</si>
  <si>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</si>
  <si>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</si>
  <si>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</si>
  <si>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</si>
  <si>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</si>
  <si>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</si>
  <si>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</si>
  <si>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</si>
  <si>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</si>
  <si>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</si>
  <si>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</si>
  <si>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</si>
  <si>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</si>
  <si>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</si>
  <si>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</si>
  <si>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</si>
  <si>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</si>
  <si>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</si>
  <si>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</si>
  <si>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</si>
  <si>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</si>
  <si>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</si>
  <si>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</si>
  <si>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</si>
  <si>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</si>
  <si>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</si>
  <si>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</si>
  <si>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</si>
  <si>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</si>
  <si>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</si>
  <si>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</si>
  <si>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</si>
  <si>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</si>
  <si>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</si>
  <si>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</si>
  <si>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</si>
  <si>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</si>
  <si>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</si>
  <si>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</si>
  <si>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</si>
  <si>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</si>
  <si>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</si>
  <si>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</si>
  <si>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</si>
  <si>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</si>
  <si>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</si>
  <si>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</si>
  <si>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</si>
  <si>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</si>
  <si>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</si>
  <si>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</si>
  <si>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</si>
  <si>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</si>
  <si>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</si>
  <si>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</si>
  <si>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</si>
  <si>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</si>
  <si>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</si>
  <si>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</si>
  <si>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</si>
  <si>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</si>
  <si>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</si>
  <si>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</si>
  <si>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</si>
  <si>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</si>
  <si>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</si>
  <si>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</si>
  <si>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</si>
  <si>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</si>
  <si>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</si>
  <si>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</si>
  <si>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</si>
  <si>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</si>
  <si>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</si>
  <si>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</si>
  <si>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</si>
  <si>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</si>
  <si>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</si>
  <si>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</si>
  <si>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</si>
  <si>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</si>
  <si>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</si>
  <si>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</si>
  <si>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</si>
  <si>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</si>
  <si>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</si>
  <si>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</si>
  <si>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</si>
  <si>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</si>
  <si>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</si>
  <si>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</si>
  <si>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</si>
  <si>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</si>
  <si>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</si>
  <si>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</si>
  <si>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</si>
  <si>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</si>
  <si>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</si>
  <si>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</si>
  <si>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</si>
  <si>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</si>
  <si>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</si>
  <si>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</si>
  <si>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</si>
  <si>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</si>
  <si>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</si>
  <si>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</si>
  <si>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</si>
  <si>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</si>
  <si>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</si>
  <si>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</si>
  <si>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</si>
  <si>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</si>
  <si>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</si>
  <si>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</si>
  <si>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</si>
  <si>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</si>
  <si>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</si>
  <si>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</si>
  <si>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</si>
  <si>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</si>
  <si>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</si>
  <si>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</si>
  <si>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</si>
  <si>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</si>
  <si>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</si>
  <si>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</si>
  <si>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</si>
  <si>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</si>
  <si>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</si>
  <si>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</si>
  <si>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</si>
  <si>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</si>
  <si>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</si>
  <si>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</si>
  <si>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</si>
  <si>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</si>
  <si>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</si>
  <si>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</si>
  <si>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</si>
  <si>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</si>
  <si>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</si>
  <si>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</si>
  <si>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</si>
  <si>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</si>
  <si>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</si>
  <si>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</si>
  <si>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</si>
  <si>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</si>
  <si>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</si>
  <si>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</si>
  <si>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</si>
  <si>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</si>
  <si>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</si>
  <si>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</si>
  <si>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</si>
  <si>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</si>
  <si>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</si>
  <si>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</si>
  <si>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</si>
  <si>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</si>
  <si>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</si>
  <si>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</si>
  <si>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</si>
  <si>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</si>
  <si>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</si>
  <si>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</si>
  <si>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</si>
  <si>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</si>
  <si>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</si>
  <si>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</si>
  <si>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</si>
  <si>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</si>
  <si>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</si>
  <si>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</si>
  <si>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</si>
  <si>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</si>
  <si>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</si>
  <si>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</si>
  <si>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</si>
  <si>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</si>
  <si>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</si>
  <si>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</si>
  <si>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</si>
  <si>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</si>
  <si>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</si>
  <si>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</si>
  <si>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</si>
  <si>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</si>
  <si>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</si>
  <si>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</si>
  <si>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</si>
  <si>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</si>
  <si>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</si>
  <si>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</si>
  <si>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</si>
  <si>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</si>
  <si>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</si>
  <si>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</si>
  <si>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</si>
  <si>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</si>
  <si>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</si>
  <si>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</si>
  <si>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</si>
  <si>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</si>
  <si>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</si>
  <si>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</si>
  <si>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</si>
  <si>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</si>
  <si>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</si>
  <si>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</si>
  <si>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</si>
  <si>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</si>
  <si>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</si>
  <si>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</si>
  <si>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</si>
  <si>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</si>
  <si>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</si>
  <si>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</si>
  <si>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</si>
  <si>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</si>
  <si>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</si>
  <si>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</si>
  <si>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</si>
  <si>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</si>
  <si>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</si>
  <si>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</si>
  <si>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</si>
  <si>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</si>
  <si>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</si>
  <si>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</si>
  <si>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</si>
  <si>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</si>
  <si>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</si>
  <si>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</si>
  <si>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</si>
  <si>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</si>
  <si>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</si>
  <si>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</si>
  <si>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</si>
  <si>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</si>
  <si>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</si>
  <si>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</si>
  <si>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</si>
  <si>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</si>
  <si>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</si>
  <si>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</si>
  <si>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</si>
  <si>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</si>
  <si>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</si>
  <si>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</si>
  <si>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</si>
  <si>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</si>
  <si>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</si>
  <si>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</si>
  <si>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</si>
  <si>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</si>
  <si>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</si>
  <si>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</si>
  <si>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</si>
  <si>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</si>
  <si>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</si>
  <si>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</si>
  <si>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</si>
  <si>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</si>
  <si>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</si>
  <si>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</si>
  <si>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</si>
  <si>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</si>
  <si>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</si>
  <si>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</si>
  <si>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</si>
  <si>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</si>
  <si>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</si>
  <si>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</si>
  <si>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</si>
  <si>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</si>
  <si>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</si>
  <si>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</si>
  <si>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</si>
  <si>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</si>
  <si>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</si>
  <si>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</si>
  <si>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</si>
  <si>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</si>
  <si>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</si>
  <si>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</si>
  <si>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</si>
  <si>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</si>
  <si>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</si>
  <si>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</si>
  <si>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</si>
  <si>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</si>
  <si>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</si>
  <si>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</si>
  <si>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</si>
  <si>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</si>
  <si>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</si>
  <si>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</si>
  <si>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</si>
  <si>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</si>
  <si>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</si>
  <si>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</si>
  <si>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</si>
  <si>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</si>
  <si>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</si>
  <si>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</si>
  <si>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</si>
  <si>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</si>
  <si>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</si>
  <si>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</si>
  <si>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</si>
  <si>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</si>
  <si>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</si>
  <si>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</si>
  <si>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</si>
  <si>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</si>
  <si>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</si>
  <si>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</si>
  <si>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</si>
  <si>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</si>
  <si>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</si>
  <si>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</si>
  <si>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</si>
  <si>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</si>
  <si>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</si>
  <si>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</si>
  <si>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</si>
  <si>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</si>
  <si>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</si>
  <si>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</si>
  <si>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</si>
  <si>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</si>
  <si>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</si>
  <si>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</si>
  <si>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</si>
  <si>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</si>
  <si>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</si>
  <si>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</si>
  <si>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</si>
  <si>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</si>
  <si>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</si>
  <si>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</si>
  <si>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</si>
  <si>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</si>
  <si>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</si>
  <si>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</si>
  <si>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</si>
  <si>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</si>
  <si>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</si>
  <si>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</si>
  <si>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</si>
  <si>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</si>
  <si>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</si>
  <si>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</si>
  <si>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</si>
  <si>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</si>
  <si>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</si>
  <si>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</si>
  <si>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</si>
  <si>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</si>
  <si>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</si>
  <si>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</si>
  <si>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</si>
  <si>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</si>
  <si>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</si>
  <si>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</si>
  <si>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</si>
  <si>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</si>
  <si>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</si>
  <si>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</si>
  <si>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</si>
  <si>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</si>
  <si>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</si>
  <si>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</si>
  <si>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</si>
  <si>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</si>
  <si>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</si>
  <si>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</si>
  <si>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</si>
  <si>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</si>
  <si>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</si>
  <si>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</si>
  <si>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</si>
  <si>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</si>
  <si>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</si>
  <si>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</si>
  <si>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</si>
  <si>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</si>
  <si>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</si>
  <si>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</si>
  <si>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</si>
  <si>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</si>
  <si>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</si>
  <si>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</si>
  <si>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</si>
  <si>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</si>
  <si>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</si>
  <si>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</si>
  <si>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</si>
  <si>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</si>
  <si>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</si>
  <si>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</si>
  <si>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</si>
  <si>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</si>
  <si>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</si>
  <si>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</si>
  <si>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</si>
  <si>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</si>
  <si>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</si>
  <si>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</si>
  <si>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</si>
  <si>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</si>
  <si>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</si>
  <si>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</si>
  <si>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</si>
  <si>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</si>
  <si>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</si>
  <si>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</si>
  <si>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</si>
  <si>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</si>
  <si>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</si>
  <si>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</si>
  <si>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</si>
  <si>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</si>
  <si>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</si>
  <si>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</si>
  <si>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</si>
  <si>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</si>
  <si>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</si>
  <si>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</si>
  <si>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</si>
  <si>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</si>
  <si>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</si>
  <si>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</si>
  <si>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</si>
  <si>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</si>
  <si>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</si>
  <si>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</si>
  <si>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</si>
  <si>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</si>
  <si>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</si>
  <si>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</si>
  <si>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</si>
  <si>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</si>
  <si>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</si>
  <si>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</si>
  <si>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</si>
  <si>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</si>
  <si>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</si>
  <si>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</si>
  <si>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</si>
  <si>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</si>
  <si>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</si>
  <si>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</si>
  <si>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</si>
  <si>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</si>
  <si>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</si>
  <si>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</si>
  <si>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</si>
  <si>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</si>
  <si>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</si>
  <si>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</si>
  <si>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</si>
  <si>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</si>
  <si>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</si>
  <si>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</si>
  <si>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</si>
  <si>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</si>
  <si>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</si>
  <si>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</si>
  <si>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</si>
  <si>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</si>
  <si>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</si>
  <si>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</si>
  <si>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</si>
  <si>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</si>
  <si>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</si>
  <si>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</si>
  <si>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</si>
  <si>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</si>
  <si>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</si>
  <si>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</si>
  <si>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</si>
  <si>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</si>
  <si>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</si>
  <si>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</si>
  <si>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</si>
  <si>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</si>
  <si>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</si>
  <si>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</si>
  <si>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</si>
  <si>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</si>
  <si>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</si>
  <si>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</si>
  <si>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</si>
  <si>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</si>
  <si>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</si>
  <si>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</si>
  <si>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</si>
  <si>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</si>
  <si>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</si>
  <si>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</si>
  <si>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</si>
  <si>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</si>
  <si>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</si>
  <si>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</si>
  <si>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</si>
  <si>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</si>
  <si>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</si>
  <si>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</si>
  <si>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</si>
  <si>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</si>
  <si>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</si>
  <si>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</si>
  <si>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</si>
  <si>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</si>
  <si>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</si>
  <si>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</si>
  <si>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</si>
  <si>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</si>
  <si>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</si>
  <si>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</si>
  <si>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</si>
  <si>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</si>
  <si>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</si>
  <si>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</si>
  <si>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</si>
  <si>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</si>
  <si>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</si>
  <si>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</si>
  <si>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</si>
  <si>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</si>
  <si>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</si>
  <si>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</si>
  <si>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</si>
  <si>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</si>
  <si>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</si>
  <si>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</si>
  <si>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</si>
  <si>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</si>
  <si>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</si>
  <si>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</si>
  <si>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</si>
  <si>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</si>
  <si>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</si>
  <si>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</si>
  <si>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</si>
  <si>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</si>
  <si>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</si>
  <si>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</si>
  <si>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</si>
  <si>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</si>
  <si>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</si>
  <si>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</si>
  <si>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</si>
  <si>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</si>
  <si>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</si>
  <si>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</si>
  <si>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</si>
  <si>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</si>
  <si>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</si>
  <si>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</si>
  <si>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</si>
  <si>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</si>
  <si>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</si>
  <si>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</si>
  <si>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</si>
  <si>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</si>
  <si>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</si>
  <si>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</si>
  <si>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</si>
  <si>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</si>
  <si>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</si>
  <si>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</si>
  <si>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</si>
  <si>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</si>
  <si>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</si>
  <si>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</si>
  <si>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</si>
  <si>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</si>
  <si>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</si>
  <si>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</si>
  <si>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</si>
  <si>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</si>
  <si>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</si>
  <si>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</si>
  <si>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</si>
  <si>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</si>
  <si>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</si>
  <si>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</si>
  <si>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</si>
  <si>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</si>
  <si>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</si>
  <si>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</si>
  <si>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</si>
  <si>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</si>
  <si>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</si>
  <si>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</si>
  <si>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</si>
  <si>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</si>
  <si>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</si>
  <si>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</si>
  <si>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</si>
  <si>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</si>
  <si>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</si>
  <si>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</si>
  <si>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</si>
  <si>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</si>
  <si>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</si>
  <si>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</si>
  <si>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</si>
  <si>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</si>
  <si>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</si>
  <si>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</si>
  <si>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</si>
  <si>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</si>
  <si>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</si>
  <si>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</si>
  <si>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</si>
  <si>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</si>
  <si>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</si>
  <si>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</si>
  <si>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</si>
  <si>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</si>
  <si>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</si>
  <si>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</si>
  <si>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</si>
  <si>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</si>
  <si>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</si>
  <si>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</si>
  <si>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</si>
  <si>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</si>
  <si>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</si>
  <si>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</si>
  <si>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</si>
  <si>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</si>
  <si>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</si>
  <si>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</si>
  <si>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</si>
  <si>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</si>
  <si>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</si>
  <si>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</si>
  <si>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</si>
  <si>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</si>
  <si>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</si>
  <si>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</si>
  <si>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</si>
  <si>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</si>
  <si>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</si>
  <si>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</si>
  <si>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</si>
  <si>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</si>
  <si>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</si>
  <si>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</si>
  <si>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</si>
  <si>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</si>
  <si>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</si>
  <si>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</si>
  <si>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</si>
  <si>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</si>
  <si>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</si>
  <si>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</si>
  <si>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</si>
  <si>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</si>
  <si>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</si>
  <si>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</si>
  <si>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</si>
  <si>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</si>
  <si>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</si>
  <si>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</si>
  <si>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</si>
  <si>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</si>
  <si>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</si>
  <si>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</si>
  <si>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</si>
  <si>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</si>
  <si>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</si>
  <si>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</si>
  <si>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</si>
  <si>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</si>
  <si>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</si>
  <si>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</si>
  <si>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</si>
  <si>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</si>
  <si>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</si>
  <si>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</si>
  <si>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</si>
  <si>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</si>
  <si>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</si>
  <si>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</si>
  <si>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</si>
  <si>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</si>
  <si>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</si>
  <si>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</si>
  <si>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</si>
  <si>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</si>
  <si>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</si>
  <si>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</si>
  <si>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</si>
  <si>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</si>
  <si>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</si>
  <si>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</si>
  <si>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</si>
  <si>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</si>
  <si>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</si>
  <si>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</si>
  <si>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</si>
  <si>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</si>
  <si>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</si>
  <si>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</si>
  <si>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</si>
  <si>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</si>
  <si>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</si>
  <si>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</si>
  <si>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</si>
  <si>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</si>
  <si>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</si>
  <si>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</si>
  <si>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</si>
  <si>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</si>
  <si>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</si>
  <si>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</si>
  <si>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</si>
  <si>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</si>
  <si>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</si>
  <si>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</si>
  <si>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</si>
  <si>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</si>
  <si>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</si>
  <si>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</si>
  <si>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</si>
  <si>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</si>
  <si>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</si>
  <si>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</si>
  <si>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</si>
  <si>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</si>
  <si>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</si>
  <si>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</si>
  <si>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</si>
  <si>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</si>
  <si>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</si>
  <si>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</si>
  <si>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</si>
  <si>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</si>
  <si>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</si>
  <si>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</si>
  <si>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</si>
  <si>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</si>
  <si>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</si>
  <si>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</si>
  <si>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</si>
  <si>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</si>
  <si>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</si>
  <si>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</si>
  <si>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</si>
  <si>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</si>
  <si>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</si>
  <si>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</si>
  <si>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</si>
  <si>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</si>
  <si>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</si>
  <si>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</si>
  <si>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</si>
  <si>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</si>
  <si>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</si>
  <si>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</si>
  <si>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</si>
  <si>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</si>
  <si>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</si>
  <si>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</si>
  <si>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</si>
  <si>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</si>
  <si>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</si>
  <si>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</si>
  <si>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</si>
  <si>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</si>
  <si>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</si>
  <si>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</si>
  <si>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</si>
  <si>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</si>
  <si>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</si>
  <si>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</si>
  <si>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</si>
  <si>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</si>
  <si>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</si>
  <si>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</si>
  <si>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</si>
  <si>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</si>
  <si>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</si>
  <si>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</si>
  <si>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</si>
  <si>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</si>
  <si>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</si>
  <si>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</si>
  <si>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</si>
  <si>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</si>
  <si>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</si>
  <si>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</si>
  <si>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</si>
  <si>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</si>
  <si>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</si>
  <si>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</si>
  <si>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</si>
  <si>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</si>
  <si>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</si>
  <si>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</si>
  <si>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</si>
  <si>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</si>
  <si>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</si>
  <si>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</si>
  <si>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</si>
  <si>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</si>
  <si>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</si>
  <si>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</si>
  <si>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</si>
  <si>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</si>
  <si>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</si>
  <si>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</si>
  <si>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</si>
  <si>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</si>
  <si>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</si>
  <si>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</si>
  <si>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</si>
  <si>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</si>
  <si>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</si>
  <si>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</si>
  <si>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</si>
  <si>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</si>
  <si>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</si>
  <si>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</si>
  <si>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</si>
  <si>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</si>
  <si>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</si>
  <si>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</si>
  <si>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</si>
  <si>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</si>
  <si>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</si>
  <si>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</si>
  <si>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</si>
  <si>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</si>
  <si>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</si>
  <si>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</si>
  <si>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</si>
  <si>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</si>
  <si>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</si>
  <si>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</si>
  <si>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</si>
  <si>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</si>
  <si>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</si>
  <si>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</si>
  <si>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</si>
  <si>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</si>
  <si>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</si>
  <si>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</si>
  <si>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</si>
  <si>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</si>
  <si>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</si>
  <si>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</si>
  <si>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</si>
  <si>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</si>
  <si>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</si>
  <si>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</si>
  <si>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</si>
  <si>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</si>
  <si>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</si>
  <si>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</si>
  <si>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</si>
  <si>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</si>
  <si>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</si>
  <si>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</si>
  <si>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</si>
  <si>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</si>
  <si>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</si>
  <si>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</si>
  <si>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</si>
  <si>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</si>
  <si>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</si>
  <si>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</si>
  <si>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</si>
  <si>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</si>
  <si>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</si>
  <si>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</si>
  <si>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</si>
  <si>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</si>
  <si>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</si>
  <si>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</si>
  <si>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</si>
  <si>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</si>
  <si>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</si>
  <si>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</si>
  <si>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</si>
  <si>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</si>
  <si>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</si>
  <si>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</si>
  <si>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</si>
  <si>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</si>
  <si>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</si>
  <si>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</si>
  <si>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</si>
  <si>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</si>
  <si>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</si>
  <si>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</si>
  <si>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</si>
  <si>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</si>
  <si>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</si>
  <si>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</si>
  <si>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</si>
  <si>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</si>
  <si>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</si>
  <si>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</si>
  <si>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</si>
  <si>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</si>
  <si>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</si>
  <si>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</si>
  <si>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</si>
  <si>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</si>
  <si>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</si>
  <si>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</si>
  <si>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</si>
  <si>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</si>
  <si>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</si>
  <si>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</si>
  <si>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</si>
  <si>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</si>
  <si>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</si>
  <si>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</si>
  <si>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</si>
  <si>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</si>
  <si>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</si>
  <si>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</si>
  <si>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</si>
  <si>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</si>
  <si>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</si>
  <si>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</si>
  <si>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</si>
  <si>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</si>
  <si>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</si>
  <si>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</si>
  <si>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</si>
  <si>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</si>
  <si>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</si>
  <si>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</si>
  <si>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</si>
  <si>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</si>
  <si>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</si>
  <si>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</si>
  <si>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</si>
  <si>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</si>
  <si>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</si>
  <si>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</si>
  <si>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</si>
  <si>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</si>
  <si>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</si>
  <si>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</si>
  <si>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</si>
  <si>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</si>
  <si>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</si>
  <si>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</si>
  <si>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</si>
  <si>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</si>
  <si>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</si>
  <si>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</si>
  <si>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</si>
  <si>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</si>
  <si>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</si>
  <si>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</si>
  <si>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</si>
  <si>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</si>
  <si>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</si>
  <si>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</si>
  <si>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</si>
  <si>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</si>
  <si>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</si>
  <si>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</si>
  <si>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</si>
  <si>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</si>
  <si>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</si>
  <si>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</si>
  <si>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</si>
  <si>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</si>
  <si>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</si>
  <si>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</si>
  <si>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</si>
  <si>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</si>
  <si>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</si>
  <si>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</si>
  <si>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</si>
  <si>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</si>
  <si>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</si>
  <si>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</si>
  <si>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</si>
  <si>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</si>
  <si>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</si>
  <si>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</si>
  <si>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</si>
  <si>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</si>
  <si>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</si>
  <si>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</si>
  <si>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</si>
  <si>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</si>
  <si>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</si>
  <si>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</si>
  <si>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</si>
  <si>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</si>
  <si>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</si>
  <si>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</si>
  <si>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</si>
  <si>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</si>
  <si>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</si>
  <si>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</si>
  <si>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</si>
  <si>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</si>
  <si>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</si>
  <si>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</si>
  <si>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</si>
  <si>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</si>
  <si>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</si>
  <si>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</si>
  <si>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</si>
  <si>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</si>
  <si>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</si>
  <si>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</si>
  <si>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</si>
  <si>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</si>
  <si>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</si>
  <si>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</si>
  <si>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</si>
  <si>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</si>
  <si>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</si>
  <si>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</si>
  <si>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</si>
  <si>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</si>
  <si>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</si>
  <si>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</si>
  <si>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</si>
  <si>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</si>
  <si>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</si>
  <si>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</si>
  <si>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</si>
  <si>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</si>
  <si>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</si>
  <si>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</si>
  <si>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</si>
  <si>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</si>
  <si>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</si>
  <si>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</si>
  <si>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</si>
  <si>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</si>
  <si>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</si>
  <si>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</si>
  <si>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</si>
  <si>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</si>
  <si>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</si>
  <si>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</si>
  <si>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</si>
  <si>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</si>
  <si>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</si>
  <si>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</si>
  <si>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</si>
  <si>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</si>
  <si>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</si>
  <si>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</si>
  <si>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</si>
  <si>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</si>
  <si>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</si>
  <si>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</si>
  <si>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</si>
  <si>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</si>
  <si>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</si>
  <si>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</si>
  <si>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</si>
  <si>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</si>
  <si>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</si>
  <si>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</si>
  <si>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</si>
  <si>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</si>
  <si>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</si>
  <si>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</si>
  <si>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</si>
  <si>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</si>
  <si>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</si>
  <si>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</si>
  <si>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</si>
  <si>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</si>
  <si>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</si>
  <si>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</si>
  <si>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</si>
  <si>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</si>
  <si>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</si>
  <si>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</si>
  <si>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</si>
  <si>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</si>
  <si>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</si>
  <si>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</si>
  <si>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</si>
  <si>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</si>
  <si>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</si>
  <si>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</si>
  <si>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</si>
  <si>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</si>
  <si>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</si>
  <si>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</si>
  <si>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</si>
  <si>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</si>
  <si>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</si>
  <si>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</si>
  <si>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</si>
  <si>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</si>
  <si>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</si>
  <si>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</si>
  <si>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</si>
  <si>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</si>
  <si>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</si>
  <si>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</si>
  <si>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</si>
  <si>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</si>
  <si>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</si>
  <si>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</si>
  <si>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</si>
  <si>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</si>
  <si>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</si>
  <si>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</si>
  <si>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</si>
  <si>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</si>
  <si>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</si>
  <si>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</si>
  <si>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</si>
  <si>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</si>
  <si>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</si>
  <si>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</si>
  <si>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</si>
  <si>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</si>
  <si>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</si>
  <si>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</si>
  <si>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</si>
  <si>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</si>
  <si>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</si>
  <si>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</si>
  <si>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</si>
  <si>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</si>
  <si>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</si>
  <si>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</si>
  <si>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</si>
  <si>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</si>
  <si>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</si>
  <si>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</si>
  <si>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</si>
  <si>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</si>
  <si>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</si>
  <si>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</si>
  <si>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</si>
  <si>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</si>
  <si>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</si>
  <si>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</si>
  <si>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</si>
  <si>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</si>
  <si>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</si>
  <si>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</si>
  <si>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</si>
  <si>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</si>
  <si>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</si>
  <si>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</si>
  <si>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</si>
  <si>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</si>
  <si>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</si>
  <si>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</si>
  <si>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</si>
  <si>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</si>
  <si>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</si>
  <si>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</si>
  <si>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</si>
  <si>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</si>
  <si>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</si>
  <si>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</si>
  <si>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</si>
  <si>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</si>
  <si>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</si>
  <si>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</si>
  <si>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</si>
  <si>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</si>
  <si>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</si>
  <si>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</si>
  <si>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</si>
  <si>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</si>
  <si>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</si>
  <si>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</si>
  <si>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</si>
  <si>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</si>
  <si>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</si>
  <si>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</si>
  <si>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</si>
  <si>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</si>
  <si>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</si>
  <si>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</si>
  <si>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</si>
  <si>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</si>
  <si>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</si>
  <si>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</si>
  <si>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</si>
  <si>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</si>
  <si>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</si>
  <si>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</si>
  <si>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</si>
  <si>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</si>
  <si>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</si>
  <si>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</si>
  <si>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</si>
  <si>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</si>
  <si>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</si>
  <si>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</si>
  <si>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</si>
  <si>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</si>
  <si>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</si>
  <si>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</si>
  <si>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</si>
  <si>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</si>
  <si>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</si>
  <si>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</si>
  <si>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</si>
  <si>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</si>
  <si>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</si>
  <si>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</si>
  <si>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</si>
  <si>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</si>
  <si>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</si>
  <si>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</si>
  <si>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</si>
  <si>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</si>
  <si>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</si>
  <si>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</si>
  <si>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</si>
  <si>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</si>
  <si>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</si>
  <si>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</si>
  <si>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</si>
  <si>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</si>
  <si>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</si>
  <si>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</si>
  <si>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</si>
  <si>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</si>
  <si>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</si>
  <si>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</si>
  <si>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</si>
  <si>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</si>
  <si>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</si>
  <si>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</si>
  <si>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</si>
  <si>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</si>
  <si>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</si>
  <si>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</si>
  <si>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</si>
  <si>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</si>
  <si>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</si>
  <si>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</si>
  <si>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</si>
  <si>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</si>
  <si>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</si>
  <si>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</si>
  <si>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</si>
  <si>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</si>
  <si>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</si>
  <si>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</si>
  <si>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</si>
  <si>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</si>
  <si>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</si>
  <si>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</si>
  <si>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</si>
  <si>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</si>
  <si>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</si>
  <si>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</si>
  <si>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</si>
  <si>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</si>
  <si>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</si>
  <si>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</si>
  <si>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</si>
  <si>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</si>
  <si>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</si>
  <si>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</si>
  <si>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</si>
  <si>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</si>
  <si>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</si>
  <si>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</si>
  <si>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</si>
  <si>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</si>
  <si>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</si>
  <si>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</si>
  <si>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</si>
  <si>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</si>
  <si>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</si>
  <si>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</si>
  <si>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</si>
  <si>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</si>
  <si>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</si>
  <si>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</si>
  <si>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</si>
  <si>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</si>
  <si>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</si>
  <si>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</si>
  <si>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</si>
  <si>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</si>
  <si>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</si>
  <si>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</si>
  <si>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</si>
  <si>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</si>
  <si>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</si>
  <si>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</si>
  <si>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</si>
  <si>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</si>
  <si>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</si>
  <si>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</si>
  <si>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</si>
  <si>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</si>
  <si>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</si>
  <si>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</si>
  <si>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</si>
  <si>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</si>
  <si>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</si>
  <si>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</si>
  <si>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</si>
  <si>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</si>
  <si>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</si>
  <si>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</si>
  <si>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</si>
  <si>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</si>
  <si>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</si>
  <si>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</si>
  <si>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</si>
  <si>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</si>
  <si>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</si>
  <si>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</si>
  <si>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</si>
  <si>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</si>
  <si>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</si>
  <si>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</si>
  <si>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</si>
  <si>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</si>
  <si>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</si>
  <si>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</si>
  <si>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</si>
  <si>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</si>
  <si>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</si>
  <si>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</si>
  <si>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</si>
  <si>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</si>
  <si>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</si>
  <si>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</si>
  <si>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</si>
  <si>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</si>
  <si>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</si>
  <si>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</si>
  <si>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</si>
  <si>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</si>
  <si>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</si>
  <si>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</si>
  <si>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</si>
  <si>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</si>
  <si>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</si>
  <si>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</si>
  <si>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</si>
  <si>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</si>
  <si>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</si>
  <si>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</si>
  <si>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</si>
  <si>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</si>
  <si>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</si>
  <si>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</si>
  <si>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</si>
  <si>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</si>
  <si>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</si>
  <si>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</si>
  <si>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</si>
  <si>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</si>
  <si>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</si>
  <si>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</si>
  <si>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</si>
  <si>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</si>
  <si>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</si>
  <si>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</si>
  <si>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</si>
  <si>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</si>
  <si>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</si>
  <si>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</si>
  <si>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</si>
  <si>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</si>
  <si>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</si>
  <si>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</si>
  <si>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</si>
  <si>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</si>
  <si>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</si>
  <si>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</si>
  <si>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</si>
  <si>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</si>
  <si>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</si>
  <si>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</si>
  <si>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</si>
  <si>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</si>
  <si>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</si>
  <si>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</si>
  <si>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</si>
  <si>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</si>
  <si>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</si>
  <si>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</si>
  <si>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</si>
  <si>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</si>
  <si>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</si>
  <si>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</si>
  <si>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</si>
  <si>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</si>
  <si>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</si>
  <si>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</si>
  <si>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</si>
  <si>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</si>
  <si>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</si>
  <si>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</si>
  <si>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</si>
  <si>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</si>
  <si>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</si>
  <si>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</si>
  <si>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</si>
  <si>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</si>
  <si>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</si>
  <si>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</si>
  <si>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</si>
  <si>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</si>
  <si>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</si>
  <si>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</si>
  <si>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</si>
  <si>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</si>
  <si>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</si>
  <si>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</si>
  <si>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</si>
  <si>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</si>
  <si>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</si>
  <si>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</si>
  <si>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</si>
  <si>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</si>
  <si>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</si>
  <si>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</si>
  <si>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</si>
  <si>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</si>
  <si>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</si>
  <si>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</si>
  <si>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</si>
  <si>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</si>
  <si>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</si>
  <si>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</si>
  <si>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</si>
  <si>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</si>
  <si>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</si>
  <si>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</si>
  <si>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</si>
  <si>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</si>
  <si>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</si>
  <si>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</si>
  <si>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</si>
  <si>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</si>
  <si>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</si>
  <si>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</si>
  <si>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</si>
  <si>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</si>
  <si>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</si>
  <si>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</si>
  <si>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</si>
  <si>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</si>
  <si>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</si>
  <si>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</si>
  <si>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</si>
  <si>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</si>
  <si>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</si>
  <si>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</si>
  <si>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</si>
  <si>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</si>
  <si>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</si>
  <si>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</si>
  <si>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</si>
  <si>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</si>
  <si>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</si>
  <si>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</si>
  <si>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</si>
  <si>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</si>
  <si>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</si>
  <si>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</si>
  <si>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</si>
  <si>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</si>
  <si>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</si>
  <si>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</si>
  <si>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</si>
  <si>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</si>
  <si>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</si>
  <si>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</si>
  <si>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</si>
  <si>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</si>
  <si>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</si>
  <si>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</si>
  <si>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</si>
  <si>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</si>
  <si>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</si>
  <si>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</si>
  <si>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</si>
  <si>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</si>
  <si>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</si>
  <si>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</si>
  <si>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</si>
  <si>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</si>
  <si>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</si>
  <si>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</si>
  <si>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</si>
  <si>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</si>
  <si>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</si>
  <si>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</si>
  <si>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</si>
  <si>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</si>
  <si>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</si>
  <si>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</si>
  <si>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</si>
  <si>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</si>
  <si>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</si>
  <si>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</si>
  <si>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</si>
  <si>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</si>
  <si>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</si>
  <si>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</si>
  <si>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</si>
  <si>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</si>
  <si>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</si>
  <si>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</si>
  <si>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</si>
  <si>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</si>
  <si>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</si>
  <si>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</si>
  <si>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</si>
  <si>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</si>
  <si>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</si>
  <si>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</si>
  <si>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</si>
  <si>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</si>
  <si>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</si>
  <si>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</si>
  <si>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</si>
  <si>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</si>
  <si>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</si>
  <si>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</si>
  <si>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</si>
  <si>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</si>
  <si>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</si>
  <si>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</si>
  <si>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</si>
  <si>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</si>
  <si>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</si>
  <si>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</si>
  <si>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</si>
  <si>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</si>
  <si>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</si>
  <si>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</si>
  <si>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</si>
  <si>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</si>
  <si>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</si>
  <si>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</si>
  <si>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</si>
  <si>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</si>
  <si>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</si>
  <si>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</si>
  <si>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</si>
  <si>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</si>
  <si>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</si>
  <si>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</si>
  <si>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</si>
  <si>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</si>
  <si>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</si>
  <si>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</si>
  <si>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</si>
  <si>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</si>
  <si>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</si>
  <si>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</si>
  <si>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</si>
  <si>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</si>
  <si>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</si>
  <si>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</si>
  <si>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</si>
  <si>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</si>
  <si>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</si>
  <si>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</si>
  <si>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</si>
  <si>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</si>
  <si>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</si>
  <si>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</si>
  <si>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</si>
  <si>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</si>
  <si>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</si>
  <si>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</si>
  <si>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</si>
  <si>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</si>
  <si>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</si>
  <si>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</si>
  <si>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</si>
  <si>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</si>
  <si>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</si>
  <si>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</si>
  <si>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</si>
  <si>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</si>
  <si>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</si>
  <si>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</si>
  <si>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</si>
  <si>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</si>
  <si>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</si>
  <si>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</si>
  <si>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</si>
  <si>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</si>
  <si>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</si>
  <si>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</si>
  <si>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</si>
  <si>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</si>
  <si>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</si>
  <si>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</si>
  <si>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</si>
  <si>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</si>
  <si>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</si>
  <si>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</si>
  <si>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</si>
  <si>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</si>
  <si>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</si>
  <si>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</si>
  <si>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</si>
  <si>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</si>
  <si>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</si>
  <si>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</si>
  <si>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</si>
  <si>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</si>
  <si>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</si>
  <si>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</si>
  <si>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</si>
  <si>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</si>
  <si>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</si>
  <si>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</si>
  <si>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</si>
  <si>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</si>
  <si>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</si>
  <si>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</si>
  <si>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</si>
  <si>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</si>
  <si>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</si>
  <si>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</si>
  <si>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</si>
  <si>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</si>
  <si>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</si>
  <si>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</si>
  <si>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</si>
  <si>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</si>
  <si>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</si>
  <si>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</si>
  <si>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</si>
  <si>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</si>
  <si>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</si>
  <si>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</si>
  <si>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</si>
  <si>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</si>
  <si>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</si>
  <si>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</si>
  <si>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</si>
  <si>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</si>
  <si>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</si>
  <si>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</si>
  <si>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</si>
  <si>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</si>
  <si>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</si>
  <si>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</si>
  <si>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</si>
  <si>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</si>
  <si>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</si>
  <si>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</si>
  <si>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</si>
  <si>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</si>
  <si>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</si>
  <si>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</si>
  <si>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</si>
  <si>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</si>
  <si>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</si>
  <si>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</si>
  <si>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</si>
  <si>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</si>
  <si>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</si>
  <si>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</si>
  <si>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</si>
  <si>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</si>
  <si>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</si>
  <si>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</si>
  <si>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</si>
  <si>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</si>
  <si>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</si>
  <si>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</si>
  <si>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</si>
  <si>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</si>
  <si>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</si>
  <si>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</si>
  <si>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</si>
  <si>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</si>
  <si>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</si>
  <si>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</si>
  <si>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</si>
  <si>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</si>
  <si>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</si>
  <si>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</si>
  <si>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</si>
  <si>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</si>
  <si>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</si>
  <si>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</si>
  <si>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</si>
  <si>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</si>
  <si>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</si>
  <si>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</si>
  <si>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</si>
  <si>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</si>
  <si>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</si>
  <si>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</si>
  <si>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</si>
  <si>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</si>
  <si>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</si>
  <si>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</si>
  <si>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</si>
  <si>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</si>
  <si>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</si>
  <si>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</si>
  <si>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</si>
  <si>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</si>
  <si>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</si>
  <si>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</si>
  <si>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</si>
  <si>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</si>
  <si>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</si>
  <si>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</si>
  <si>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</si>
  <si>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</si>
  <si>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</si>
  <si>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</si>
  <si>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</si>
  <si>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</si>
  <si>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</si>
  <si>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</si>
  <si>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</si>
  <si>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</si>
  <si>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</si>
  <si>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</si>
  <si>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</si>
  <si>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</si>
  <si>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</si>
  <si>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</si>
  <si>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</si>
  <si>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</si>
  <si>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</si>
  <si>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</si>
  <si>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</si>
  <si>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</si>
  <si>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</si>
  <si>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</si>
  <si>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</si>
  <si>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</si>
  <si>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</si>
  <si>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</si>
  <si>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</si>
  <si>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</si>
  <si>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</si>
  <si>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</si>
  <si>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</si>
  <si>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</si>
  <si>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</si>
  <si>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</si>
  <si>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</si>
  <si>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</si>
  <si>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</si>
  <si>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</si>
  <si>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</si>
  <si>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</si>
  <si>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</si>
  <si>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</si>
  <si>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</si>
  <si>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</si>
  <si>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</si>
  <si>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</si>
  <si>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</si>
  <si>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</si>
  <si>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</si>
  <si>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</si>
  <si>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</si>
  <si>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</si>
  <si>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</si>
  <si>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</si>
  <si>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</si>
  <si>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</si>
  <si>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</si>
  <si>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</si>
  <si>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</si>
  <si>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</si>
  <si>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</si>
  <si>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</si>
  <si>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</si>
  <si>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</si>
  <si>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</si>
  <si>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</si>
  <si>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</si>
  <si>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</si>
  <si>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</si>
  <si>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</si>
  <si>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</si>
  <si>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</si>
  <si>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</si>
  <si>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</si>
  <si>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</si>
  <si>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</si>
  <si>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</si>
  <si>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</si>
  <si>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</si>
  <si>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</si>
  <si>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</si>
  <si>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</si>
  <si>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</si>
  <si>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</si>
  <si>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</si>
  <si>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</si>
  <si>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</si>
  <si>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</si>
  <si>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</si>
  <si>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</si>
  <si>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</si>
  <si>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</si>
  <si>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</si>
  <si>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</si>
  <si>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</si>
  <si>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</si>
  <si>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</si>
  <si>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</si>
  <si>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</si>
  <si>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</si>
  <si>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</si>
  <si>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</si>
  <si>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</si>
  <si>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</si>
  <si>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</si>
  <si>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</si>
  <si>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</si>
  <si>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</si>
  <si>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</si>
  <si>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</si>
  <si>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</si>
  <si>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</si>
  <si>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</si>
  <si>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</si>
  <si>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</si>
  <si>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</si>
  <si>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</si>
  <si>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</si>
  <si>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</si>
  <si>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</si>
  <si>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</si>
  <si>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</si>
  <si>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</si>
  <si>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</si>
  <si>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</si>
  <si>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</si>
  <si>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</si>
  <si>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</si>
  <si>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</si>
  <si>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</si>
  <si>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</si>
  <si>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</si>
  <si>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</si>
  <si>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</si>
  <si>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</si>
  <si>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</si>
  <si>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</si>
  <si>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</si>
  <si>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</si>
  <si>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</si>
  <si>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</si>
  <si>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</si>
  <si>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</si>
  <si>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</si>
  <si>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</si>
  <si>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</si>
  <si>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</si>
  <si>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</si>
  <si>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</si>
  <si>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</si>
  <si>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</si>
  <si>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</si>
  <si>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</si>
  <si>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</si>
  <si>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</si>
  <si>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</si>
  <si>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</si>
  <si>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</si>
  <si>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</si>
  <si>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</si>
  <si>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</si>
  <si>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</si>
  <si>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</si>
  <si>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</si>
  <si>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</si>
  <si>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</si>
  <si>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</si>
  <si>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</si>
  <si>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</si>
  <si>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</si>
  <si>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</si>
  <si>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</si>
  <si>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</si>
  <si>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</si>
  <si>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</si>
  <si>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</si>
  <si>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</si>
  <si>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</si>
  <si>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</si>
  <si>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</si>
  <si>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</si>
  <si>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</si>
  <si>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</si>
  <si>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</si>
  <si>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</si>
  <si>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</si>
  <si>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</si>
  <si>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</si>
  <si>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</si>
  <si>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</si>
  <si>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</si>
  <si>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</si>
  <si>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</si>
  <si>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</si>
  <si>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</si>
  <si>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</si>
  <si>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</si>
  <si>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</si>
  <si>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</si>
  <si>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</si>
  <si>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</si>
  <si>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</si>
  <si>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</si>
  <si>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</si>
  <si>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</si>
  <si>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</si>
  <si>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</si>
  <si>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</si>
  <si>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</si>
  <si>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</si>
  <si>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</si>
  <si>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</si>
  <si>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</si>
  <si>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</si>
  <si>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</si>
  <si>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</si>
  <si>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</si>
  <si>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</si>
  <si>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</si>
  <si>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</si>
  <si>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</si>
  <si>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</si>
  <si>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</si>
  <si>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</si>
  <si>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</si>
  <si>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</si>
  <si>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</si>
  <si>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</si>
  <si>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</si>
  <si>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</si>
  <si>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</si>
  <si>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</si>
  <si>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</si>
  <si>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</si>
  <si>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</si>
  <si>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</si>
  <si>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</si>
  <si>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</si>
  <si>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</si>
  <si>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</si>
  <si>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</si>
  <si>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</si>
  <si>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</si>
  <si>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</si>
  <si>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</si>
  <si>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</si>
  <si>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</si>
  <si>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</si>
  <si>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</si>
  <si>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</si>
  <si>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</si>
  <si>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</si>
  <si>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</si>
  <si>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</si>
  <si>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</si>
  <si>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</si>
  <si>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</si>
  <si>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</si>
  <si>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</si>
  <si>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</si>
  <si>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</si>
  <si>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</si>
  <si>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</si>
  <si>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</si>
  <si>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</si>
  <si>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</si>
  <si>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</si>
  <si>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</si>
  <si>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</si>
  <si>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</si>
  <si>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</si>
  <si>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</si>
  <si>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</si>
  <si>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</si>
  <si>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</si>
  <si>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</si>
  <si>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</si>
  <si>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</si>
  <si>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</si>
  <si>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</si>
  <si>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</si>
  <si>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</si>
  <si>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</si>
  <si>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</si>
  <si>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</si>
  <si>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</si>
  <si>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</si>
  <si>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</si>
  <si>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</si>
  <si>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</si>
  <si>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</si>
  <si>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</si>
  <si>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</si>
  <si>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</si>
  <si>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</si>
  <si>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</si>
  <si>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</si>
  <si>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</si>
  <si>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</si>
  <si>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</si>
  <si>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</si>
  <si>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</si>
  <si>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</si>
  <si>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</si>
  <si>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</si>
  <si>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</si>
  <si>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</si>
  <si>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</si>
  <si>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</si>
  <si>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</si>
  <si>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</si>
  <si>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</si>
  <si>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</si>
  <si>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</si>
  <si>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</si>
  <si>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</si>
  <si>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</si>
  <si>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</si>
  <si>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</si>
  <si>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</si>
  <si>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</si>
  <si>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</si>
  <si>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</si>
  <si>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</si>
  <si>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</si>
  <si>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</si>
  <si>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</si>
  <si>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</si>
  <si>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</si>
  <si>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</si>
  <si>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</si>
  <si>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</si>
  <si>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</si>
  <si>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</si>
  <si>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</si>
  <si>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</si>
  <si>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</si>
  <si>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</si>
  <si>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</si>
  <si>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</si>
  <si>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</si>
  <si>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</si>
  <si>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</si>
  <si>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</si>
  <si>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</si>
  <si>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</si>
  <si>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</si>
  <si>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</si>
  <si>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</si>
  <si>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</si>
  <si>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</si>
  <si>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</si>
  <si>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</si>
  <si>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</si>
  <si>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</si>
  <si>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</si>
  <si>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</si>
  <si>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</si>
  <si>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</si>
  <si>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</si>
  <si>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</si>
  <si>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</si>
  <si>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</si>
  <si>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</si>
  <si>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</si>
  <si>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</si>
  <si>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</si>
  <si>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</si>
  <si>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</si>
  <si>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</si>
  <si>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</si>
  <si>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</si>
  <si>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</si>
  <si>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</si>
  <si>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</si>
  <si>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</si>
  <si>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</si>
  <si>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</si>
  <si>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</si>
  <si>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</si>
  <si>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</si>
  <si>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</si>
  <si>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</si>
  <si>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</si>
  <si>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</si>
  <si>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</si>
  <si>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</si>
  <si>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</si>
  <si>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</si>
  <si>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</si>
  <si>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</si>
  <si>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</si>
  <si>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</si>
  <si>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</si>
  <si>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</si>
  <si>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</si>
  <si>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</si>
  <si>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</si>
  <si>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</si>
  <si>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</si>
  <si>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</si>
  <si>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</si>
  <si>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</si>
  <si>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</si>
  <si>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</si>
  <si>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</si>
  <si>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</si>
  <si>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</si>
  <si>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</si>
  <si>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</si>
  <si>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</si>
  <si>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</si>
  <si>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</si>
  <si>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</si>
  <si>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</si>
  <si>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</si>
  <si>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</si>
  <si>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</si>
  <si>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</si>
  <si>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</si>
  <si>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</si>
  <si>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</si>
  <si>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</si>
  <si>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</si>
  <si>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</si>
  <si>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</si>
  <si>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</si>
  <si>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</si>
  <si>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</si>
  <si>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</si>
  <si>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</si>
  <si>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</si>
  <si>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</si>
  <si>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</si>
  <si>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</si>
  <si>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</si>
  <si>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</si>
  <si>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</si>
  <si>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</si>
  <si>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</si>
  <si>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</si>
  <si>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</si>
  <si>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</si>
  <si>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</si>
  <si>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</si>
  <si>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</si>
  <si>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</si>
  <si>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</si>
  <si>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</si>
  <si>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</si>
  <si>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</si>
  <si>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</si>
  <si>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</si>
  <si>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</si>
  <si>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</si>
  <si>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</si>
  <si>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</si>
  <si>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</si>
  <si>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</si>
  <si>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</si>
  <si>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</si>
  <si>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</si>
  <si>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</si>
  <si>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</si>
  <si>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</si>
  <si>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</si>
  <si>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</si>
  <si>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</si>
  <si>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</si>
  <si>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</si>
  <si>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</si>
  <si>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</si>
  <si>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</si>
  <si>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</si>
  <si>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</si>
  <si>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</si>
  <si>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</si>
  <si>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</si>
  <si>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</si>
  <si>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</si>
  <si>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</si>
  <si>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</si>
  <si>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</si>
  <si>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</si>
  <si>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</si>
  <si>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</si>
  <si>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</si>
  <si>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</si>
  <si>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</si>
  <si>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</si>
  <si>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</si>
  <si>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</si>
  <si>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</si>
  <si>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</si>
  <si>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</si>
  <si>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</si>
  <si>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</si>
  <si>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</si>
  <si>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</si>
  <si>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</si>
  <si>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</si>
  <si>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</si>
  <si>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</si>
  <si>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</si>
  <si>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</si>
  <si>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</si>
  <si>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</si>
  <si>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</si>
  <si>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</si>
  <si>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</si>
  <si>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</si>
  <si>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</si>
  <si>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</si>
  <si>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</si>
  <si>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</si>
  <si>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</si>
  <si>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</si>
  <si>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</si>
  <si>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</si>
  <si>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</si>
  <si>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</si>
  <si>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</si>
  <si>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</si>
  <si>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</si>
  <si>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</si>
  <si>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</si>
  <si>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</si>
  <si>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</si>
  <si>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</si>
  <si>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</si>
  <si>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</si>
  <si>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</si>
  <si>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</si>
  <si>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</si>
  <si>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</si>
  <si>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</si>
  <si>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</si>
  <si>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</si>
  <si>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</si>
  <si>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</si>
  <si>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</si>
  <si>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</si>
  <si>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</si>
  <si>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</si>
  <si>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</si>
  <si>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</si>
  <si>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</si>
  <si>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</si>
  <si>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</si>
  <si>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</si>
  <si>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</si>
  <si>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</si>
  <si>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</si>
  <si>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</si>
  <si>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</si>
  <si>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</si>
  <si>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</si>
  <si>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</si>
  <si>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</si>
  <si>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</si>
  <si>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</si>
  <si>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</si>
  <si>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</si>
  <si>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</si>
  <si>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</si>
  <si>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</si>
  <si>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</si>
  <si>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</si>
  <si>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</si>
  <si>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</si>
  <si>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</si>
  <si>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</si>
  <si>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</si>
  <si>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</si>
  <si>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</si>
  <si>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</si>
  <si>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</si>
  <si>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</si>
  <si>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</si>
  <si>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</si>
  <si>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</si>
  <si>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</si>
  <si>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</si>
  <si>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</si>
  <si>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</si>
  <si>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</si>
  <si>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</si>
  <si>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</si>
  <si>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</si>
  <si>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</si>
  <si>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</si>
  <si>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</si>
  <si>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</si>
  <si>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</si>
  <si>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</si>
  <si>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</si>
  <si>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</si>
  <si>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</si>
  <si>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</si>
  <si>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</si>
  <si>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</si>
  <si>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</si>
  <si>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</si>
  <si>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</si>
  <si>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</si>
  <si>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</si>
  <si>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</si>
  <si>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</si>
  <si>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</si>
  <si>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</si>
  <si>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</si>
  <si>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</si>
  <si>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</si>
  <si>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</si>
  <si>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</si>
  <si>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</si>
  <si>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</si>
  <si>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</si>
  <si>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</si>
  <si>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</si>
  <si>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</si>
  <si>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</si>
  <si>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</si>
  <si>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</si>
  <si>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</si>
  <si>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</si>
  <si>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</si>
  <si>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</si>
  <si>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</si>
  <si>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</si>
  <si>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</si>
  <si>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</si>
  <si>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</si>
  <si>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</si>
  <si>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</si>
  <si>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</si>
  <si>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</si>
  <si>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</si>
  <si>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</si>
  <si>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</si>
  <si>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</si>
  <si>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</si>
  <si>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</si>
  <si>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</si>
  <si>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</si>
  <si>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</si>
  <si>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</si>
  <si>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</si>
  <si>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</si>
  <si>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</si>
  <si>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</si>
  <si>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</si>
  <si>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</si>
  <si>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</si>
  <si>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</si>
  <si>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</si>
  <si>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</si>
  <si>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</si>
  <si>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</si>
  <si>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</si>
  <si>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</si>
  <si>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</si>
  <si>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</si>
  <si>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</si>
  <si>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</si>
  <si>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</si>
  <si>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</si>
  <si>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</si>
  <si>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</si>
  <si>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</si>
  <si>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</si>
  <si>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</si>
  <si>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</si>
  <si>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</si>
  <si>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</si>
  <si>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</si>
  <si>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</si>
  <si>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</si>
  <si>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</si>
  <si>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</si>
  <si>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</si>
  <si>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</si>
  <si>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</si>
  <si>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</si>
  <si>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</si>
  <si>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</si>
  <si>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</si>
  <si>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</si>
  <si>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</si>
  <si>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</si>
  <si>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</si>
  <si>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</si>
  <si>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</si>
  <si>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</si>
  <si>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</si>
  <si>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</si>
  <si>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</si>
  <si>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</si>
  <si>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</si>
  <si>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</si>
  <si>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</si>
  <si>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</si>
  <si>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</si>
  <si>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</si>
  <si>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</si>
  <si>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</si>
  <si>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</si>
  <si>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</si>
  <si>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</si>
  <si>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</si>
  <si>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</si>
  <si>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</si>
  <si>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</si>
  <si>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</si>
  <si>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</si>
  <si>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</si>
  <si>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</si>
  <si>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</si>
  <si>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</si>
  <si>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</si>
  <si>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</si>
  <si>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</si>
  <si>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</si>
  <si>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</si>
  <si>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</si>
  <si>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</si>
  <si>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</si>
  <si>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</si>
  <si>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</si>
  <si>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</si>
  <si>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</si>
  <si>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</si>
  <si>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</si>
  <si>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</si>
  <si>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</si>
  <si>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</si>
  <si>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</si>
  <si>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</si>
  <si>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</si>
  <si>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</si>
  <si>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</si>
  <si>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</si>
  <si>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</si>
  <si>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</si>
  <si>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</si>
  <si>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</si>
  <si>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</si>
  <si>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</si>
  <si>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</si>
  <si>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</si>
  <si>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</si>
  <si>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</si>
  <si>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</si>
  <si>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</si>
  <si>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</si>
  <si>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</si>
  <si>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</si>
  <si>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</si>
  <si>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</si>
  <si>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</si>
  <si>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</si>
  <si>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</si>
  <si>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</si>
  <si>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</si>
  <si>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</si>
  <si>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</si>
  <si>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</si>
  <si>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</si>
  <si>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</si>
  <si>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</si>
  <si>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</si>
  <si>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</si>
  <si>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</si>
  <si>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</si>
  <si>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</si>
  <si>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</si>
  <si>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</si>
  <si>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</si>
  <si>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</si>
  <si>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</si>
  <si>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</si>
  <si>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</si>
  <si>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</si>
  <si>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</si>
  <si>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</si>
  <si>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</si>
  <si>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</si>
  <si>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</si>
  <si>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</si>
  <si>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</si>
  <si>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</si>
  <si>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</si>
  <si>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</si>
  <si>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</si>
  <si>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</si>
  <si>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</si>
  <si>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</si>
  <si>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</si>
  <si>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</si>
  <si>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</si>
  <si>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</si>
  <si>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</si>
  <si>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</si>
  <si>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</si>
  <si>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</si>
  <si>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</si>
  <si>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</si>
  <si>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</si>
  <si>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</si>
  <si>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</si>
  <si>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</si>
  <si>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</si>
  <si>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</si>
  <si>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</si>
  <si>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</si>
  <si>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</si>
  <si>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</si>
  <si>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</si>
  <si>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</si>
  <si>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</si>
  <si>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</si>
  <si>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</si>
  <si>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</si>
  <si>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</si>
  <si>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</si>
  <si>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</si>
  <si>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</si>
  <si>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</si>
  <si>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</si>
  <si>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</si>
  <si>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</si>
  <si>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</si>
  <si>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</si>
  <si>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</si>
  <si>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</si>
  <si>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</si>
  <si>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</si>
  <si>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</si>
  <si>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</si>
  <si>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</si>
  <si>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</si>
  <si>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</si>
  <si>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</si>
  <si>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</si>
  <si>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</si>
  <si>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</si>
  <si>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</si>
  <si>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</si>
  <si>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</si>
  <si>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</si>
  <si>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</si>
  <si>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</si>
  <si>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</si>
  <si>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</si>
  <si>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</si>
  <si>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</si>
  <si>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</si>
  <si>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</si>
  <si>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</si>
  <si>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</si>
  <si>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</si>
  <si>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</si>
  <si>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</si>
  <si>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</si>
  <si>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</si>
  <si>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</si>
  <si>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</si>
  <si>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</si>
  <si>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</si>
  <si>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</si>
  <si>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</si>
  <si>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</si>
  <si>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</si>
  <si>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</si>
  <si>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</si>
  <si>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</si>
  <si>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</si>
  <si>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</si>
  <si>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</si>
  <si>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</si>
  <si>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</si>
  <si>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</si>
  <si>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</si>
  <si>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</si>
  <si>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</si>
  <si>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</si>
  <si>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</si>
  <si>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</si>
  <si>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</si>
  <si>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</si>
  <si>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</si>
  <si>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</si>
  <si>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</si>
  <si>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</si>
  <si>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</si>
  <si>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</si>
  <si>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</si>
  <si>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</si>
  <si>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</si>
  <si>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</si>
  <si>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</si>
  <si>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</si>
  <si>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</si>
  <si>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</si>
  <si>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</si>
  <si>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</si>
  <si>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</si>
  <si>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</si>
  <si>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</si>
  <si>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</si>
  <si>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</si>
  <si>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</si>
  <si>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</si>
  <si>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</si>
  <si>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</si>
  <si>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</si>
  <si>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</si>
  <si>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</si>
  <si>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</si>
  <si>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</si>
  <si>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</si>
  <si>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</si>
  <si>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</si>
  <si>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</si>
  <si>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</si>
  <si>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</si>
  <si>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</si>
  <si>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</si>
  <si>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</si>
  <si>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</si>
  <si>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</si>
  <si>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</si>
  <si>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</si>
  <si>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</si>
  <si>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</si>
  <si>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</si>
  <si>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</si>
  <si>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</si>
  <si>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</si>
  <si>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</si>
  <si>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</si>
  <si>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</si>
  <si>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</si>
  <si>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</si>
  <si>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</si>
  <si>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</si>
  <si>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</si>
  <si>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</si>
  <si>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</si>
  <si>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</si>
  <si>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</si>
  <si>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</si>
  <si>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</si>
  <si>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</si>
  <si>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</si>
  <si>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</si>
  <si>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</si>
  <si>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</si>
  <si>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</si>
  <si>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</si>
  <si>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</si>
  <si>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</si>
  <si>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</si>
  <si>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</si>
  <si>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</si>
  <si>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</si>
  <si>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</si>
  <si>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</si>
  <si>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</si>
  <si>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</si>
  <si>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</si>
  <si>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</si>
  <si>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</si>
  <si>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</si>
  <si>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</si>
  <si>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</si>
  <si>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</si>
  <si>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</si>
  <si>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</si>
  <si>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</si>
  <si>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</si>
  <si>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</si>
  <si>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</si>
  <si>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</si>
  <si>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</si>
  <si>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</si>
  <si>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</si>
  <si>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</si>
  <si>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</si>
  <si>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</si>
  <si>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</si>
  <si>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</si>
  <si>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</si>
  <si>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</si>
  <si>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</si>
  <si>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</si>
  <si>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</si>
  <si>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</si>
  <si>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</si>
  <si>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</si>
  <si>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</si>
  <si>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</si>
  <si>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</si>
  <si>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</si>
  <si>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</si>
  <si>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</si>
  <si>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</si>
  <si>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</si>
  <si>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</si>
  <si>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</si>
  <si>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</si>
  <si>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</si>
  <si>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</si>
  <si>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</si>
  <si>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</si>
  <si>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</si>
  <si>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</si>
  <si>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</si>
  <si>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</si>
  <si>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</si>
  <si>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</si>
  <si>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</si>
  <si>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</si>
  <si>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</si>
  <si>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</si>
  <si>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</si>
  <si>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</si>
  <si>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</si>
  <si>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</si>
  <si>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</si>
  <si>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</si>
  <si>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</si>
  <si>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</si>
  <si>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</si>
  <si>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</si>
  <si>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</si>
  <si>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</si>
  <si>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</si>
  <si>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</si>
  <si>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</si>
  <si>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</si>
  <si>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</si>
  <si>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</si>
  <si>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</si>
  <si>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</si>
  <si>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</si>
  <si>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</si>
  <si>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</si>
  <si>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</si>
  <si>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</si>
  <si>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</si>
  <si>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</si>
  <si>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</si>
  <si>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</si>
  <si>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</si>
  <si>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</si>
  <si>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</si>
  <si>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</si>
  <si>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</si>
  <si>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</si>
  <si>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</si>
  <si>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</si>
  <si>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</si>
  <si>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</si>
  <si>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</si>
  <si>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</si>
  <si>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</si>
  <si>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</si>
  <si>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</si>
  <si>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</si>
  <si>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</si>
  <si>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</si>
  <si>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</si>
  <si>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</si>
  <si>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</si>
  <si>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</si>
  <si>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</si>
  <si>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</si>
  <si>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</si>
  <si>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</si>
  <si>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</si>
  <si>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</si>
  <si>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</si>
  <si>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</si>
  <si>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</si>
  <si>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</si>
  <si>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</si>
  <si>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</si>
  <si>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</si>
  <si>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</si>
  <si>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</si>
  <si>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</si>
  <si>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</si>
  <si>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</si>
  <si>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</si>
  <si>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</si>
  <si>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</si>
  <si>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</si>
  <si>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</si>
  <si>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</si>
  <si>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</si>
  <si>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</si>
  <si>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</si>
  <si>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</si>
  <si>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</si>
  <si>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</si>
  <si>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</si>
  <si>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</si>
  <si>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</si>
  <si>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</si>
  <si>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</si>
  <si>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</si>
  <si>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</si>
  <si>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</si>
  <si>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</si>
  <si>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</si>
  <si>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</si>
  <si>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</si>
  <si>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</si>
  <si>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</si>
  <si>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</si>
  <si>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</si>
  <si>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</si>
  <si>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</si>
  <si>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</si>
  <si>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</si>
  <si>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</si>
  <si>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</si>
  <si>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</si>
  <si>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</si>
  <si>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</si>
  <si>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</si>
  <si>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</si>
  <si>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</si>
  <si>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</si>
  <si>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</si>
  <si>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</si>
  <si>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</si>
  <si>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</si>
  <si>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</si>
  <si>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</si>
  <si>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</si>
  <si>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</si>
  <si>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</si>
  <si>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</si>
  <si>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</si>
  <si>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</si>
  <si>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</si>
  <si>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</si>
  <si>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</si>
  <si>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</si>
  <si>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</si>
  <si>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</si>
  <si>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</si>
  <si>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</si>
  <si>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</si>
  <si>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</si>
  <si>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</si>
  <si>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</si>
  <si>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</si>
  <si>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</si>
  <si>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</si>
  <si>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</si>
  <si>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</si>
  <si>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</si>
  <si>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</si>
  <si>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</si>
  <si>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</si>
  <si>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</si>
  <si>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</si>
  <si>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</si>
  <si>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</si>
  <si>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</si>
  <si>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</si>
  <si>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</si>
  <si>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</si>
  <si>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</si>
  <si>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</si>
  <si>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</si>
  <si>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</si>
  <si>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</si>
  <si>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</si>
  <si>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</si>
  <si>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</si>
  <si>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</si>
  <si>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</si>
  <si>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</si>
  <si>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</si>
  <si>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</si>
  <si>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</si>
  <si>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</si>
  <si>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</si>
  <si>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</si>
  <si>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</si>
  <si>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</si>
  <si>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</si>
  <si>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</si>
  <si>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</si>
  <si>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</si>
  <si>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</si>
  <si>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</si>
  <si>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</si>
  <si>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</si>
  <si>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</si>
  <si>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</si>
  <si>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</si>
  <si>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</si>
  <si>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</si>
  <si>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</si>
  <si>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</si>
  <si>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</si>
  <si>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</si>
  <si>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</si>
  <si>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</si>
  <si>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</si>
  <si>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</si>
  <si>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</si>
  <si>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</si>
  <si>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</si>
  <si>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</si>
  <si>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</si>
  <si>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</si>
  <si>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</si>
  <si>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</si>
  <si>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</si>
  <si>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</si>
  <si>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</si>
  <si>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</si>
  <si>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</si>
  <si>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</si>
  <si>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</si>
  <si>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</si>
  <si>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</si>
  <si>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</si>
  <si>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</si>
  <si>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</si>
  <si>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</si>
  <si>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</si>
  <si>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</si>
  <si>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</si>
  <si>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</si>
  <si>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</si>
  <si>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</si>
  <si>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</si>
  <si>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</si>
  <si>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</si>
  <si>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</si>
  <si>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</si>
  <si>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</si>
  <si>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</si>
  <si>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</si>
  <si>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</si>
  <si>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</si>
  <si>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</si>
  <si>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</si>
  <si>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</si>
  <si>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</si>
  <si>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</si>
  <si>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</si>
  <si>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</si>
  <si>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</si>
  <si>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</si>
  <si>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</si>
  <si>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</si>
  <si>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</si>
  <si>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</si>
  <si>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</si>
  <si>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</si>
  <si>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</si>
  <si>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</si>
  <si>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</si>
  <si>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</si>
  <si>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</si>
  <si>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</si>
  <si>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</si>
  <si>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</si>
  <si>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</si>
  <si>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</si>
  <si>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</si>
  <si>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</si>
  <si>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</si>
  <si>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</si>
  <si>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</si>
  <si>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</si>
  <si>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</si>
  <si>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</si>
  <si>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</si>
  <si>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</si>
  <si>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</si>
  <si>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</si>
  <si>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</si>
  <si>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</si>
  <si>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</si>
  <si>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</si>
  <si>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</si>
  <si>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</si>
  <si>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</si>
  <si>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</si>
  <si>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</si>
  <si>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</si>
  <si>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</si>
  <si>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</si>
  <si>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</si>
  <si>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</si>
  <si>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</si>
  <si>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</si>
  <si>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</si>
  <si>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</si>
  <si>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</si>
  <si>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</si>
  <si>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</si>
  <si>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</si>
  <si>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</si>
  <si>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</si>
  <si>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</si>
  <si>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</si>
  <si>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</si>
  <si>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</si>
  <si>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</si>
  <si>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</si>
  <si>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</si>
  <si>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</si>
  <si>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</si>
  <si>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</si>
  <si>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</si>
  <si>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</si>
  <si>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</si>
  <si>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</si>
  <si>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</si>
  <si>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</si>
  <si>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</si>
  <si>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</si>
  <si>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</si>
  <si>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</si>
  <si>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</si>
  <si>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</si>
  <si>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</si>
  <si>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</si>
  <si>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</si>
  <si>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</si>
  <si>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</si>
  <si>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</si>
  <si>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</si>
  <si>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</si>
  <si>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</si>
  <si>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</si>
  <si>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</si>
  <si>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</si>
  <si>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</si>
  <si>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</si>
  <si>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</si>
  <si>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</si>
  <si>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</si>
  <si>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</si>
  <si>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</si>
  <si>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</si>
  <si>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</si>
  <si>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</si>
  <si>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</si>
  <si>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</si>
  <si>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</si>
  <si>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</si>
  <si>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</si>
  <si>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</si>
  <si>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</si>
  <si>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</si>
  <si>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</si>
  <si>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</si>
  <si>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</si>
  <si>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</si>
  <si>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</si>
  <si>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</si>
  <si>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</si>
  <si>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</si>
  <si>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</si>
  <si>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</si>
  <si>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</si>
  <si>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</si>
  <si>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</si>
  <si>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</si>
  <si>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</si>
  <si>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</si>
  <si>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</si>
  <si>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</si>
  <si>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</si>
  <si>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</si>
  <si>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</si>
  <si>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</si>
  <si>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</si>
  <si>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</si>
  <si>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</si>
  <si>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</si>
  <si>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</si>
  <si>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</si>
  <si>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</si>
  <si>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</si>
  <si>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</si>
  <si>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</si>
  <si>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</si>
  <si>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</si>
  <si>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</si>
  <si>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</si>
  <si>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</si>
  <si>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</si>
  <si>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</si>
  <si>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</si>
  <si>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</si>
  <si>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</si>
  <si>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</si>
  <si>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</si>
  <si>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</si>
  <si>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</si>
  <si>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</si>
  <si>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</si>
  <si>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</si>
  <si>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</si>
  <si>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</si>
  <si>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</si>
  <si>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</si>
  <si>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</si>
  <si>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</si>
  <si>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</si>
  <si>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</si>
  <si>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</si>
  <si>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</si>
  <si>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</si>
  <si>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</si>
  <si>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</si>
  <si>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</si>
  <si>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</si>
  <si>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</si>
  <si>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</si>
  <si>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</si>
  <si>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</si>
  <si>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</si>
  <si>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</si>
  <si>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</si>
  <si>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</si>
  <si>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</si>
  <si>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</si>
  <si>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</si>
  <si>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</si>
  <si>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</si>
  <si>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</si>
  <si>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</si>
  <si>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</si>
  <si>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</si>
  <si>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</si>
  <si>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</si>
  <si>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</si>
  <si>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</si>
  <si>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</si>
  <si>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</si>
  <si>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</si>
  <si>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</si>
  <si>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</si>
  <si>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</si>
  <si>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</si>
  <si>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</si>
  <si>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</si>
  <si>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</si>
  <si>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</si>
  <si>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</si>
  <si>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</si>
  <si>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</si>
  <si>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</si>
  <si>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</si>
  <si>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</si>
  <si>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</si>
  <si>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</si>
  <si>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</si>
  <si>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</si>
  <si>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</si>
  <si>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</si>
  <si>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</si>
  <si>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</si>
  <si>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</si>
  <si>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</si>
  <si>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</si>
  <si>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</si>
  <si>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</si>
  <si>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</si>
  <si>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</si>
  <si>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</si>
  <si>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</si>
  <si>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</si>
  <si>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</si>
  <si>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</si>
  <si>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</si>
  <si>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</si>
  <si>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</si>
  <si>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</si>
  <si>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</si>
  <si>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</si>
  <si>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</si>
  <si>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</si>
  <si>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</si>
  <si>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</si>
  <si>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</si>
  <si>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</si>
  <si>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</si>
  <si>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</si>
  <si>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</si>
  <si>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</si>
  <si>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</si>
  <si>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</si>
  <si>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</si>
  <si>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</si>
  <si>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</si>
  <si>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</si>
  <si>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</si>
  <si>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</si>
  <si>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</si>
  <si>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</si>
  <si>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</si>
  <si>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</si>
  <si>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</si>
  <si>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</si>
  <si>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</si>
  <si>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</si>
  <si>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</si>
  <si>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</si>
  <si>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</si>
  <si>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</si>
  <si>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</si>
  <si>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</si>
  <si>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</si>
  <si>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</si>
  <si>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</si>
  <si>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</si>
  <si>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</si>
  <si>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</si>
  <si>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</si>
  <si>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</si>
  <si>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</si>
  <si>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</si>
  <si>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</si>
  <si>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</si>
  <si>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</si>
  <si>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</si>
  <si>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</si>
  <si>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</si>
  <si>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</si>
  <si>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</si>
  <si>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</si>
  <si>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</si>
  <si>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</si>
  <si>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</si>
  <si>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</si>
  <si>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</si>
  <si>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</si>
  <si>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</si>
  <si>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</si>
  <si>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</si>
  <si>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</si>
  <si>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</si>
  <si>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</si>
  <si>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</si>
  <si>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</si>
  <si>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</si>
  <si>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</si>
  <si>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</si>
  <si>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</si>
  <si>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</si>
  <si>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</si>
  <si>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</si>
  <si>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</si>
  <si>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</si>
  <si>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</si>
  <si>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</si>
  <si>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</si>
  <si>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</si>
  <si>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</si>
  <si>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</si>
  <si>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</si>
  <si>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</si>
  <si>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</si>
  <si>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</si>
  <si>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</si>
  <si>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</si>
  <si>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</si>
  <si>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</si>
  <si>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</si>
  <si>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</si>
  <si>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</si>
  <si>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</si>
  <si>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</si>
  <si>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</si>
  <si>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</si>
  <si>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</si>
  <si>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</si>
  <si>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</si>
  <si>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</si>
  <si>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</si>
  <si>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</si>
  <si>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</si>
  <si>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</si>
  <si>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</si>
  <si>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</si>
  <si>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</si>
  <si>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</si>
  <si>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</si>
  <si>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</si>
  <si>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</si>
  <si>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</si>
  <si>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</si>
  <si>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</si>
  <si>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</si>
  <si>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</si>
  <si>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</si>
  <si>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</si>
  <si>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</si>
  <si>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</si>
  <si>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</si>
  <si>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</si>
  <si>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</si>
  <si>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</si>
  <si>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</si>
  <si>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</si>
  <si>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</si>
  <si>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</si>
  <si>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</si>
  <si>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</si>
  <si>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</si>
  <si>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</si>
  <si>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</si>
  <si>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</si>
  <si>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</si>
  <si>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</si>
  <si>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</si>
  <si>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</si>
  <si>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</si>
  <si>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</si>
  <si>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</si>
  <si>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</si>
  <si>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</si>
  <si>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</si>
  <si>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</si>
  <si>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</si>
  <si>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</si>
  <si>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</si>
  <si>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</si>
  <si>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</si>
  <si>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</si>
  <si>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</si>
  <si>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</si>
  <si>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</si>
  <si>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</si>
  <si>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</si>
  <si>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</si>
  <si>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</si>
  <si>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</si>
  <si>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</si>
  <si>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</si>
  <si>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</si>
  <si>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</si>
  <si>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</si>
  <si>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</si>
  <si>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</si>
  <si>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</si>
  <si>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</si>
  <si>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</si>
  <si>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</si>
  <si>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</si>
  <si>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</si>
  <si>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</si>
  <si>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</si>
  <si>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</si>
  <si>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</si>
  <si>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</si>
  <si>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</si>
  <si>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</si>
  <si>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</si>
  <si>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</si>
  <si>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</si>
  <si>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</si>
  <si>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</si>
  <si>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</si>
  <si>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</si>
  <si>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</si>
  <si>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</si>
  <si>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</si>
  <si>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</si>
  <si>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</si>
  <si>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</si>
  <si>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</si>
  <si>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</si>
  <si>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</si>
  <si>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</si>
  <si>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</si>
  <si>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</si>
  <si>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</si>
  <si>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</si>
  <si>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</si>
  <si>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</si>
  <si>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</si>
  <si>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</si>
  <si>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</si>
  <si>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</si>
  <si>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</si>
  <si>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</si>
  <si>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</si>
  <si>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</si>
  <si>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</si>
  <si>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</si>
  <si>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</si>
  <si>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</si>
  <si>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</si>
  <si>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</si>
  <si>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</si>
  <si>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</si>
  <si>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</si>
  <si>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</si>
  <si>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</si>
  <si>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</si>
  <si>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</si>
  <si>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</si>
  <si>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</si>
  <si>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</si>
  <si>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</si>
  <si>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</si>
  <si>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</si>
  <si>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</si>
  <si>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</si>
  <si>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</si>
  <si>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</si>
  <si>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</si>
  <si>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</si>
  <si>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</si>
  <si>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</si>
  <si>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</si>
  <si>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</si>
  <si>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</si>
  <si>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</si>
  <si>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</si>
  <si>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</si>
  <si>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</si>
  <si>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</si>
  <si>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</si>
  <si>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</si>
  <si>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</si>
  <si>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</si>
  <si>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</si>
  <si>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</si>
  <si>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</si>
  <si>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</si>
  <si>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</si>
  <si>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</si>
  <si>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</si>
  <si>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</si>
  <si>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</si>
  <si>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</si>
  <si>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</si>
  <si>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</si>
  <si>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</si>
  <si>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</si>
  <si>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</si>
  <si>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</si>
  <si>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</si>
  <si>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</si>
  <si>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</si>
  <si>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</si>
  <si>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</si>
  <si>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</si>
  <si>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</si>
  <si>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</si>
  <si>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</si>
  <si>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</si>
  <si>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</si>
  <si>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</si>
  <si>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</si>
  <si>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</si>
  <si>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</si>
  <si>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</si>
  <si>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</si>
  <si>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</si>
  <si>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</si>
  <si>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</si>
  <si>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</si>
  <si>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</si>
  <si>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</si>
  <si>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</si>
  <si>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</si>
  <si>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</si>
  <si>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</si>
  <si>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</si>
  <si>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</si>
  <si>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</si>
  <si>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</si>
  <si>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</si>
  <si>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</si>
  <si>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</si>
  <si>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</si>
  <si>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</si>
  <si>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</si>
  <si>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</si>
  <si>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</si>
  <si>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</si>
  <si>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</si>
  <si>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</si>
  <si>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</si>
  <si>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</si>
  <si>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</si>
  <si>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</si>
  <si>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</si>
  <si>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</si>
  <si>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</si>
  <si>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</si>
  <si>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</si>
  <si>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</si>
  <si>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</si>
  <si>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</si>
  <si>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</si>
  <si>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</si>
  <si>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</si>
  <si>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</si>
  <si>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</si>
  <si>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</si>
  <si>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</si>
  <si>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</si>
  <si>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</si>
  <si>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</si>
  <si>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</si>
  <si>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</si>
  <si>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</si>
  <si>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</si>
  <si>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</si>
  <si>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</si>
  <si>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</si>
  <si>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</si>
  <si>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</si>
  <si>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</si>
  <si>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</si>
  <si>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</si>
  <si>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</si>
  <si>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</si>
  <si>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</si>
  <si>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</si>
  <si>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</si>
  <si>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</si>
  <si>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</si>
  <si>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</si>
  <si>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</si>
  <si>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</si>
  <si>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</si>
  <si>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</si>
  <si>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</si>
  <si>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</si>
  <si>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</si>
  <si>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</si>
  <si>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</si>
  <si>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</si>
  <si>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</si>
  <si>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</si>
  <si>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</si>
  <si>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</si>
  <si>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</si>
  <si>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</si>
  <si>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</si>
  <si>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</si>
  <si>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</si>
  <si>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</si>
  <si>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</si>
  <si>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</si>
  <si>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</si>
  <si>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</si>
  <si>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</si>
  <si>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</si>
  <si>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</si>
  <si>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</si>
  <si>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</si>
  <si>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</si>
  <si>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</si>
  <si>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</si>
  <si>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</si>
  <si>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</si>
  <si>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</si>
  <si>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</si>
  <si>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</si>
  <si>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</si>
  <si>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</si>
  <si>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</si>
  <si>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</si>
  <si>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</si>
  <si>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</si>
  <si>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</si>
  <si>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</si>
  <si>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</si>
  <si>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</si>
  <si>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</si>
  <si>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</si>
  <si>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</si>
  <si>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</si>
  <si>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</si>
  <si>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</si>
  <si>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</si>
  <si>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</si>
  <si>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</si>
  <si>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</si>
  <si>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</si>
  <si>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</si>
  <si>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</si>
  <si>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</si>
  <si>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</si>
  <si>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</si>
  <si>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</si>
  <si>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</si>
  <si>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</si>
  <si>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</si>
  <si>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</si>
  <si>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</si>
  <si>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</si>
  <si>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</si>
  <si>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</si>
  <si>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</si>
  <si>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</si>
  <si>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</si>
  <si>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</si>
  <si>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</si>
  <si>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</si>
  <si>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</si>
  <si>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</si>
  <si>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</si>
  <si>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</si>
  <si>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</si>
  <si>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</si>
  <si>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</si>
  <si>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</si>
  <si>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</si>
  <si>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</si>
  <si>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</si>
  <si>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</si>
  <si>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</si>
  <si>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</si>
  <si>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</si>
  <si>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</si>
  <si>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</si>
  <si>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</si>
  <si>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</si>
  <si>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</si>
  <si>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</si>
  <si>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</si>
  <si>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</si>
  <si>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</si>
  <si>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</si>
  <si>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</si>
  <si>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</si>
  <si>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</si>
  <si>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</si>
  <si>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</si>
  <si>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</si>
  <si>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</si>
  <si>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</si>
  <si>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</si>
  <si>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</si>
  <si>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</si>
  <si>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</si>
  <si>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</si>
  <si>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</si>
  <si>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</si>
  <si>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</si>
  <si>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</si>
  <si>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</si>
  <si>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</si>
  <si>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</si>
  <si>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</si>
  <si>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</si>
  <si>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</si>
  <si>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</si>
  <si>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</si>
  <si>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</si>
  <si>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</si>
  <si>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</si>
  <si>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</si>
  <si>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</si>
  <si>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</si>
  <si>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</si>
  <si>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</si>
  <si>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</si>
  <si>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</si>
  <si>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</si>
  <si>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</si>
  <si>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</si>
  <si>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</si>
  <si>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</si>
  <si>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</si>
  <si>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</si>
  <si>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</si>
  <si>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</si>
  <si>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</si>
  <si>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</si>
  <si>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</si>
  <si>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</si>
  <si>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</si>
  <si>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</si>
  <si>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</si>
  <si>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</si>
  <si>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</si>
  <si>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</si>
  <si>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</si>
  <si>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</si>
  <si>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</si>
  <si>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</si>
  <si>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</si>
  <si>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</si>
  <si>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</si>
  <si>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</si>
  <si>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</si>
  <si>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</si>
  <si>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</si>
  <si>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</si>
  <si>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</si>
  <si>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</si>
  <si>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</si>
  <si>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</si>
  <si>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</si>
  <si>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</si>
  <si>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</si>
  <si>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</si>
  <si>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</si>
  <si>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</si>
  <si>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</si>
  <si>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</si>
  <si>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</si>
  <si>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</si>
  <si>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</si>
  <si>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</si>
  <si>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</si>
  <si>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</si>
  <si>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</si>
  <si>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</si>
  <si>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</si>
  <si>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</si>
  <si>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</si>
  <si>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</si>
  <si>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</si>
  <si>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</si>
  <si>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</si>
  <si>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</si>
  <si>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</si>
  <si>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</si>
  <si>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</si>
  <si>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</si>
  <si>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</si>
  <si>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</si>
  <si>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</si>
  <si>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</si>
  <si>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</si>
  <si>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</si>
  <si>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</si>
  <si>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</si>
  <si>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</si>
  <si>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</si>
  <si>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</si>
  <si>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</si>
  <si>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</si>
  <si>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</si>
  <si>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</si>
  <si>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</si>
  <si>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</si>
  <si>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</si>
  <si>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</si>
  <si>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</si>
  <si>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</si>
  <si>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</si>
  <si>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</si>
  <si>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</si>
  <si>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</si>
  <si>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</si>
  <si>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</si>
  <si>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</si>
  <si>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</si>
  <si>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</si>
  <si>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</si>
  <si>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</si>
  <si>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</si>
  <si>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</si>
  <si>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</si>
  <si>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</si>
  <si>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</si>
  <si>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</si>
  <si>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</si>
  <si>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</si>
  <si>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</si>
  <si>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</si>
  <si>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</si>
  <si>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</si>
  <si>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</si>
  <si>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</si>
  <si>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</si>
  <si>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</si>
  <si>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</si>
  <si>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</si>
  <si>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</si>
  <si>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</si>
  <si>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</si>
  <si>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</si>
  <si>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</si>
  <si>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</si>
  <si>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</si>
  <si>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</si>
  <si>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</si>
  <si>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</si>
  <si>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</si>
  <si>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</si>
  <si>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</si>
  <si>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</si>
  <si>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</si>
  <si>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</si>
  <si>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</si>
  <si>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</si>
  <si>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</si>
  <si>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</si>
  <si>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</si>
  <si>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</si>
  <si>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</si>
  <si>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</si>
  <si>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</si>
  <si>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</si>
  <si>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</si>
  <si>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</si>
  <si>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</si>
  <si>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</si>
  <si>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</si>
  <si>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</si>
  <si>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</si>
  <si>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</si>
  <si>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</si>
  <si>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</si>
  <si>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</si>
  <si>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</si>
  <si>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</si>
  <si>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</si>
  <si>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</si>
  <si>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</si>
  <si>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</si>
  <si>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</si>
  <si>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</si>
  <si>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</si>
  <si>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</si>
  <si>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</si>
  <si>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</si>
  <si>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</si>
  <si>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</si>
  <si>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</si>
  <si>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</si>
  <si>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</si>
  <si>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</si>
  <si>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</si>
  <si>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</si>
  <si>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</si>
  <si>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</si>
  <si>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</si>
  <si>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</si>
  <si>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</si>
  <si>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</si>
  <si>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</si>
  <si>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</si>
  <si>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</si>
  <si>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</si>
  <si>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</si>
  <si>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</si>
  <si>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</si>
  <si>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</si>
  <si>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</si>
  <si>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</si>
  <si>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</si>
  <si>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</si>
  <si>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</si>
  <si>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</si>
  <si>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</si>
  <si>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</si>
  <si>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</si>
  <si>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</si>
  <si>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</si>
  <si>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</si>
  <si>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</si>
  <si>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</si>
  <si>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</si>
  <si>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</si>
  <si>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</si>
  <si>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</si>
  <si>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</si>
  <si>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</si>
  <si>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</si>
  <si>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</si>
  <si>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</si>
  <si>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</si>
  <si>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</si>
  <si>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</si>
  <si>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</si>
  <si>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</si>
  <si>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</si>
  <si>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</si>
  <si>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</si>
  <si>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</si>
  <si>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</si>
  <si>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</si>
  <si>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</si>
  <si>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</si>
  <si>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</si>
  <si>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</si>
  <si>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</si>
  <si>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</si>
  <si>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</si>
  <si>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</si>
  <si>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</si>
  <si>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</si>
  <si>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</si>
  <si>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</si>
  <si>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</si>
  <si>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</si>
  <si>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</si>
  <si>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</si>
  <si>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</si>
  <si>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</si>
  <si>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</si>
  <si>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</si>
  <si>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</si>
  <si>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</si>
  <si>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</si>
  <si>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</si>
  <si>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</si>
  <si>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</si>
  <si>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</si>
  <si>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</si>
  <si>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</si>
  <si>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</si>
  <si>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</si>
  <si>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</si>
  <si>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</si>
  <si>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</si>
  <si>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</si>
  <si>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</si>
  <si>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</si>
  <si>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</si>
  <si>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</si>
  <si>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</si>
  <si>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</si>
  <si>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</si>
  <si>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</si>
  <si>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</si>
  <si>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</si>
  <si>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</si>
  <si>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</si>
  <si>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</si>
  <si>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</si>
  <si>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</si>
  <si>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</si>
  <si>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</si>
  <si>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</si>
  <si>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</si>
  <si>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</si>
  <si>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</si>
  <si>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</si>
  <si>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</si>
  <si>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</si>
  <si>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</si>
  <si>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</si>
  <si>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</si>
  <si>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</si>
  <si>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</si>
  <si>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</si>
  <si>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</si>
  <si>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</si>
  <si>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</si>
  <si>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</si>
  <si>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</si>
  <si>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</si>
  <si>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</si>
  <si>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</si>
  <si>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</si>
  <si>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</si>
  <si>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</si>
  <si>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</si>
  <si>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</si>
  <si>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</si>
  <si>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</si>
  <si>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</si>
  <si>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</si>
  <si>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</si>
  <si>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</si>
  <si>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</si>
  <si>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</si>
  <si>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</si>
  <si>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</si>
  <si>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</si>
  <si>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</si>
  <si>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</si>
  <si>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</si>
  <si>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</si>
  <si>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</si>
  <si>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</si>
  <si>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</si>
  <si>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</si>
  <si>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</si>
  <si>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</si>
  <si>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</si>
  <si>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</si>
  <si>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</si>
  <si>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</si>
  <si>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</si>
  <si>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</si>
  <si>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</si>
  <si>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</si>
  <si>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</si>
  <si>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</si>
  <si>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</si>
  <si>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</si>
  <si>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</si>
  <si>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</si>
  <si>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</si>
  <si>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</si>
  <si>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</si>
  <si>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</si>
  <si>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</si>
  <si>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</si>
  <si>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</si>
  <si>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</si>
  <si>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</si>
  <si>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</si>
  <si>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</si>
  <si>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</si>
  <si>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</si>
  <si>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</si>
  <si>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</si>
  <si>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</si>
  <si>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</si>
  <si>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</si>
  <si>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</si>
  <si>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</si>
  <si>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</si>
  <si>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</si>
  <si>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</si>
  <si>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</si>
  <si>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</si>
  <si>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</si>
  <si>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</si>
  <si>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</si>
  <si>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</si>
  <si>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</si>
  <si>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</si>
  <si>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</si>
  <si>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</si>
  <si>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</si>
  <si>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</si>
  <si>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</si>
  <si>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</si>
  <si>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</si>
  <si>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</si>
  <si>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</si>
  <si>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</si>
  <si>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</si>
  <si>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</si>
  <si>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</si>
  <si>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</si>
  <si>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</si>
  <si>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</si>
  <si>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</si>
  <si>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</si>
  <si>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</si>
  <si>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</si>
  <si>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</si>
  <si>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</si>
  <si>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</si>
  <si>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</si>
  <si>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</si>
  <si>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</si>
  <si>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</si>
  <si>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</si>
  <si>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</si>
  <si>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</si>
  <si>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</si>
  <si>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</si>
  <si>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</si>
  <si>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</si>
  <si>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</si>
  <si>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</si>
  <si>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</si>
  <si>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</si>
  <si>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</si>
  <si>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</si>
  <si>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</si>
  <si>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</si>
  <si>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</si>
  <si>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</si>
  <si>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</si>
  <si>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</si>
  <si>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</si>
  <si>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</si>
  <si>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</si>
  <si>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</si>
  <si>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</si>
  <si>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</si>
  <si>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</si>
  <si>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</si>
  <si>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</si>
  <si>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</si>
  <si>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</si>
  <si>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</si>
  <si>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</si>
  <si>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</si>
  <si>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</si>
  <si>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</si>
  <si>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</si>
  <si>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</si>
  <si>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</si>
  <si>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</si>
  <si>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</si>
  <si>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</si>
  <si>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</si>
  <si>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</si>
  <si>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</si>
  <si>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</si>
  <si>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</si>
  <si>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</si>
  <si>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</si>
  <si>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</si>
  <si>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</si>
  <si>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</si>
  <si>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</si>
  <si>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</si>
  <si>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</si>
  <si>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</si>
  <si>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</si>
  <si>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</si>
  <si>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</si>
  <si>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</si>
  <si>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</si>
  <si>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</si>
  <si>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</si>
  <si>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</si>
  <si>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</si>
  <si>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</si>
  <si>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</si>
  <si>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</si>
  <si>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</si>
  <si>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</si>
  <si>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</si>
  <si>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</si>
  <si>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</si>
  <si>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</si>
  <si>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</si>
  <si>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</si>
  <si>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</si>
  <si>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</si>
  <si>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</si>
  <si>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</si>
  <si>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</si>
  <si>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</si>
  <si>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</si>
  <si>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</si>
  <si>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</si>
  <si>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</si>
  <si>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</si>
  <si>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</si>
  <si>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</si>
  <si>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</si>
  <si>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</si>
  <si>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</si>
  <si>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</si>
  <si>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</si>
  <si>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</si>
  <si>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</si>
  <si>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</si>
  <si>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</si>
  <si>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</si>
  <si>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</si>
  <si>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</si>
  <si>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</si>
  <si>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</si>
  <si>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</si>
  <si>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</si>
  <si>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</si>
  <si>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</si>
  <si>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</si>
  <si>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</si>
  <si>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</si>
  <si>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</si>
  <si>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</si>
  <si>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</si>
  <si>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</si>
  <si>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</si>
  <si>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</si>
  <si>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</si>
  <si>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</si>
  <si>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</si>
  <si>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</si>
  <si>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</si>
  <si>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</si>
  <si>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</si>
  <si>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</si>
  <si>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</si>
  <si>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</si>
  <si>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</si>
  <si>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</si>
  <si>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</si>
  <si>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</si>
  <si>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</si>
  <si>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</si>
  <si>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</si>
  <si>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</si>
  <si>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</si>
  <si>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</si>
  <si>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</si>
  <si>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</si>
  <si>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</si>
  <si>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</si>
  <si>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</si>
  <si>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</si>
  <si>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</si>
  <si>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</si>
  <si>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</si>
  <si>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</si>
  <si>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</si>
  <si>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</si>
  <si>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</si>
  <si>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</si>
  <si>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</si>
  <si>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</si>
  <si>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</si>
  <si>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</si>
  <si>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</si>
  <si>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</si>
  <si>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</si>
  <si>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</si>
  <si>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</si>
  <si>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</si>
  <si>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</si>
  <si>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</si>
  <si>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</si>
  <si>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</si>
  <si>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</si>
  <si>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</si>
  <si>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</si>
  <si>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</si>
  <si>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</si>
  <si>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</si>
  <si>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</si>
  <si>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</si>
  <si>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</si>
  <si>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</si>
  <si>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</si>
  <si>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</si>
  <si>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</si>
  <si>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</si>
  <si>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</si>
  <si>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</si>
  <si>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</si>
  <si>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</si>
  <si>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</si>
  <si>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</si>
  <si>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</si>
  <si>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</si>
  <si>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</si>
  <si>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</si>
  <si>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</si>
  <si>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</si>
  <si>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</si>
  <si>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</si>
  <si>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</si>
  <si>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</si>
  <si>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</si>
  <si>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</si>
  <si>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</si>
  <si>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</si>
  <si>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</si>
  <si>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</si>
  <si>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</si>
  <si>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</si>
  <si>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</si>
  <si>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</si>
  <si>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</si>
  <si>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</si>
  <si>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</si>
  <si>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</si>
  <si>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</si>
  <si>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</si>
  <si>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</si>
  <si>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</si>
  <si>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</si>
  <si>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</si>
  <si>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</si>
  <si>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</si>
  <si>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</si>
  <si>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</si>
  <si>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</si>
  <si>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</si>
  <si>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</si>
  <si>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</si>
  <si>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</si>
  <si>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</si>
  <si>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</si>
  <si>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</si>
  <si>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</si>
  <si>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</si>
  <si>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</si>
  <si>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</si>
  <si>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</si>
  <si>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</si>
  <si>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</si>
  <si>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</si>
  <si>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</si>
  <si>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</si>
  <si>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</si>
  <si>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</si>
  <si>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</si>
  <si>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</si>
  <si>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</si>
  <si>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</si>
  <si>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</si>
  <si>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</si>
  <si>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</si>
  <si>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</si>
  <si>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</si>
  <si>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</si>
  <si>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</si>
  <si>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</si>
  <si>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</si>
  <si>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</si>
  <si>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</si>
  <si>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</si>
  <si>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</si>
  <si>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</si>
  <si>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</si>
  <si>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</si>
  <si>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</si>
  <si>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</si>
  <si>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</si>
  <si>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</si>
  <si>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</si>
  <si>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</si>
  <si>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</si>
  <si>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</si>
  <si>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</si>
  <si>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</si>
  <si>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</si>
  <si>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</si>
  <si>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</si>
  <si>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</si>
  <si>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</si>
  <si>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</si>
  <si>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</si>
  <si>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</si>
  <si>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</si>
  <si>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</si>
  <si>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</si>
  <si>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</si>
  <si>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</si>
  <si>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</si>
  <si>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</si>
  <si>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</si>
  <si>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</si>
  <si>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</si>
  <si>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</si>
  <si>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</si>
  <si>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</si>
  <si>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</si>
  <si>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</si>
  <si>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</si>
  <si>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</si>
  <si>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</si>
  <si>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</si>
  <si>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</si>
  <si>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</si>
  <si>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</si>
  <si>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</si>
  <si>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</si>
  <si>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</si>
  <si>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</si>
  <si>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</si>
  <si>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</si>
  <si>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</si>
  <si>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</si>
  <si>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</si>
  <si>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</si>
  <si>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</si>
  <si>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</si>
  <si>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</si>
  <si>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</si>
  <si>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</si>
  <si>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</si>
  <si>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</si>
  <si>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</si>
  <si>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</si>
  <si>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</si>
  <si>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</si>
  <si>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</si>
  <si>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</si>
  <si>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</si>
  <si>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</si>
  <si>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</si>
  <si>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</si>
  <si>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</si>
  <si>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</si>
  <si>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</si>
  <si>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</si>
  <si>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</si>
  <si>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</si>
  <si>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</si>
  <si>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</si>
  <si>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</si>
  <si>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</si>
  <si>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</si>
  <si>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</si>
  <si>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</si>
  <si>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</si>
  <si>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</si>
  <si>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</si>
  <si>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</si>
  <si>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</si>
  <si>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</si>
  <si>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</si>
  <si>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</si>
  <si>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</si>
  <si>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</si>
  <si>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</si>
  <si>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</si>
  <si>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</si>
  <si>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</si>
  <si>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</si>
  <si>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</si>
  <si>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</si>
  <si>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</si>
  <si>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</si>
  <si>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</si>
  <si>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</si>
  <si>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</si>
  <si>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</si>
  <si>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</si>
  <si>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</si>
  <si>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</si>
  <si>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</si>
  <si>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</si>
  <si>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</si>
  <si>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</si>
  <si>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</si>
  <si>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</si>
  <si>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</si>
  <si>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</si>
  <si>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</si>
  <si>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</si>
  <si>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</si>
  <si>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</si>
  <si>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</si>
  <si>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</si>
  <si>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</si>
  <si>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</si>
  <si>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</si>
  <si>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</si>
  <si>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</si>
  <si>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</si>
  <si>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</si>
  <si>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</si>
  <si>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</si>
  <si>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</si>
  <si>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</si>
  <si>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</si>
  <si>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</si>
  <si>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</si>
  <si>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</si>
  <si>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</si>
  <si>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</si>
  <si>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</si>
  <si>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</si>
  <si>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</si>
  <si>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</si>
  <si>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</si>
  <si>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</si>
  <si>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</si>
  <si>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</si>
  <si>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</si>
  <si>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</si>
  <si>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</si>
  <si>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</si>
  <si>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</si>
  <si>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</si>
  <si>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</si>
  <si>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</si>
  <si>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</si>
  <si>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</si>
  <si>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</si>
  <si>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</si>
  <si>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</si>
  <si>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</si>
  <si>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</si>
  <si>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</si>
  <si>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</si>
  <si>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</si>
  <si>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</si>
  <si>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</si>
  <si>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</si>
  <si>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</si>
  <si>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</si>
  <si>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</si>
  <si>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</si>
  <si>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</si>
  <si>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</si>
  <si>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</si>
  <si>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</si>
  <si>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</si>
  <si>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</si>
  <si>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</si>
  <si>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</si>
  <si>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</si>
  <si>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</si>
  <si>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</si>
  <si>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</si>
  <si>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</si>
  <si>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</si>
  <si>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</si>
  <si>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</si>
  <si>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</si>
  <si>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</si>
  <si>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</si>
  <si>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</si>
  <si>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</si>
  <si>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</si>
  <si>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</si>
  <si>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</si>
  <si>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</si>
  <si>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</si>
  <si>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</si>
  <si>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</si>
  <si>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</si>
  <si>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</si>
  <si>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</si>
  <si>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</si>
  <si>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</si>
  <si>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</si>
  <si>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</si>
  <si>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</si>
  <si>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</si>
  <si>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</si>
  <si>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</si>
  <si>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</si>
  <si>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</si>
  <si>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</si>
  <si>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</si>
  <si>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</si>
  <si>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</si>
  <si>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</si>
  <si>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</si>
  <si>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</si>
  <si>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</si>
  <si>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</si>
  <si>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</si>
  <si>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</si>
  <si>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</si>
  <si>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</si>
  <si>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</si>
  <si>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</si>
  <si>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</si>
  <si>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</si>
  <si>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</si>
  <si>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</si>
  <si>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</si>
  <si>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</si>
  <si>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</si>
  <si>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</si>
  <si>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</si>
  <si>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</si>
  <si>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</si>
  <si>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</si>
  <si>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</si>
  <si>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</si>
  <si>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</si>
  <si>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</si>
  <si>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</si>
  <si>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</si>
  <si>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</si>
  <si>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</si>
  <si>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</si>
  <si>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</si>
  <si>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</si>
  <si>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</si>
  <si>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</si>
  <si>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</si>
  <si>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</si>
  <si>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</si>
  <si>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</si>
  <si>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</si>
  <si>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</si>
  <si>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</si>
  <si>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</si>
  <si>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</si>
  <si>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</si>
  <si>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</si>
  <si>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</si>
  <si>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</si>
  <si>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</si>
  <si>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</si>
  <si>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</si>
  <si>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</si>
  <si>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</si>
  <si>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</si>
  <si>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</si>
  <si>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</si>
  <si>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</si>
  <si>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</si>
  <si>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</si>
  <si>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</si>
  <si>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</si>
  <si>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</si>
  <si>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</si>
  <si>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</si>
  <si>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</si>
  <si>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</si>
  <si>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</si>
  <si>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</si>
  <si>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</si>
  <si>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</si>
  <si>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</si>
  <si>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</si>
  <si>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</si>
  <si>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</si>
  <si>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</si>
  <si>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</si>
  <si>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</si>
  <si>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</si>
  <si>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</si>
  <si>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</si>
  <si>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</si>
  <si>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</si>
  <si>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</si>
  <si>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</si>
  <si>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</si>
  <si>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</si>
  <si>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</si>
  <si>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</si>
  <si>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</si>
  <si>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</si>
  <si>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</si>
  <si>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</si>
  <si>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</si>
  <si>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</si>
  <si>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</si>
  <si>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</si>
  <si>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</si>
  <si>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</si>
  <si>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</si>
  <si>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</si>
  <si>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</si>
  <si>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</si>
  <si>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</si>
  <si>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</si>
  <si>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</si>
  <si>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</si>
  <si>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</si>
  <si>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</si>
  <si>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</si>
  <si>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</si>
  <si>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</si>
  <si>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</si>
  <si>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</si>
  <si>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</si>
  <si>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</si>
  <si>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</si>
  <si>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</si>
  <si>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</si>
  <si>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</si>
  <si>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</si>
  <si>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</si>
  <si>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</si>
  <si>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</si>
  <si>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</si>
  <si>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</si>
  <si>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</si>
  <si>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</si>
  <si>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</si>
  <si>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</si>
  <si>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</si>
  <si>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</si>
  <si>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</si>
  <si>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</si>
  <si>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</si>
  <si>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</si>
  <si>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</si>
  <si>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</si>
  <si>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</si>
  <si>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</si>
  <si>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</si>
  <si>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</si>
  <si>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</si>
  <si>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</si>
  <si>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</si>
  <si>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</si>
  <si>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</si>
  <si>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</si>
  <si>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</si>
  <si>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</si>
  <si>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</si>
  <si>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</si>
  <si>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</si>
  <si>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</si>
  <si>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</si>
  <si>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</si>
  <si>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</si>
  <si>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</si>
  <si>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</si>
  <si>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</si>
  <si>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</si>
  <si>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</si>
  <si>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</si>
  <si>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</si>
  <si>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</si>
  <si>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</si>
  <si>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</si>
  <si>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</si>
  <si>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</si>
  <si>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</si>
  <si>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</si>
  <si>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</si>
  <si>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</si>
  <si>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</si>
  <si>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</si>
  <si>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</si>
  <si>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</si>
  <si>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</si>
  <si>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</si>
  <si>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</si>
  <si>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</si>
  <si>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</si>
  <si>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</si>
  <si>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</si>
  <si>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</si>
  <si>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</si>
  <si>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</si>
  <si>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</si>
  <si>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</si>
  <si>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</si>
  <si>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</si>
  <si>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</si>
  <si>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</si>
  <si>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</si>
  <si>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</si>
  <si>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</si>
  <si>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</si>
  <si>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</si>
  <si>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</si>
  <si>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</si>
  <si>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</si>
  <si>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</si>
  <si>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</si>
  <si>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</si>
  <si>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</si>
  <si>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</si>
  <si>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</si>
  <si>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</si>
  <si>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</si>
  <si>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</si>
  <si>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</si>
  <si>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</si>
  <si>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</si>
  <si>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</si>
  <si>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</si>
  <si>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</si>
  <si>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</si>
  <si>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</si>
  <si>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</si>
  <si>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</si>
  <si>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</si>
  <si>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</si>
  <si>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</si>
  <si>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</si>
  <si>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</si>
  <si>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</si>
  <si>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</si>
  <si>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</si>
  <si>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</si>
  <si>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</si>
  <si>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</si>
  <si>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</si>
  <si>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</si>
  <si>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</si>
  <si>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</si>
  <si>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</si>
  <si>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</si>
  <si>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</si>
  <si>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</si>
  <si>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</si>
  <si>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</si>
  <si>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</si>
  <si>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</si>
  <si>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</si>
  <si>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</si>
  <si>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</si>
  <si>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</si>
  <si>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</si>
  <si>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</si>
  <si>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</si>
  <si>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</si>
  <si>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</si>
  <si>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</si>
  <si>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</si>
  <si>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</si>
  <si>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</si>
  <si>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</si>
  <si>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</si>
  <si>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</si>
  <si>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</si>
  <si>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</si>
  <si>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</si>
  <si>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</si>
  <si>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</si>
  <si>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</si>
  <si>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</si>
  <si>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</si>
  <si>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</si>
  <si>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</si>
  <si>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</si>
  <si>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</si>
  <si>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</si>
  <si>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</si>
  <si>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</si>
  <si>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</si>
  <si>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</si>
  <si>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</si>
  <si>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</si>
  <si>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</si>
  <si>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</si>
  <si>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</si>
  <si>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</si>
  <si>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</si>
  <si>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</si>
  <si>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</si>
  <si>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</si>
  <si>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</si>
  <si>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</si>
  <si>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</si>
  <si>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</si>
  <si>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</si>
  <si>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</si>
  <si>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</si>
  <si>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</si>
  <si>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</si>
  <si>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</si>
  <si>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</si>
  <si>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</si>
  <si>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</si>
  <si>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</si>
  <si>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</si>
  <si>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</si>
  <si>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</si>
  <si>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</si>
  <si>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</si>
  <si>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</si>
  <si>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</si>
  <si>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</si>
  <si>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</si>
  <si>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</si>
  <si>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</si>
  <si>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</si>
  <si>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</si>
  <si>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</si>
  <si>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</si>
  <si>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</si>
  <si>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</si>
  <si>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</si>
  <si>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</si>
  <si>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</si>
  <si>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</si>
  <si>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</si>
  <si>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</si>
  <si>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</si>
  <si>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</si>
  <si>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</si>
  <si>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</si>
  <si>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</si>
  <si>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</si>
  <si>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</si>
  <si>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</si>
  <si>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</si>
  <si>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</si>
  <si>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</si>
  <si>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</si>
  <si>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</si>
  <si>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</si>
  <si>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</si>
  <si>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</si>
  <si>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</si>
  <si>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</si>
  <si>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</si>
  <si>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</si>
  <si>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</si>
  <si>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</si>
  <si>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</si>
  <si>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</si>
  <si>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</si>
  <si>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</si>
  <si>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</si>
  <si>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</si>
  <si>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</si>
  <si>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</si>
  <si>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</si>
  <si>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</si>
  <si>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</si>
  <si>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</si>
  <si>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</si>
  <si>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</si>
  <si>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</si>
  <si>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</si>
  <si>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</si>
  <si>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</si>
  <si>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</si>
  <si>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</si>
  <si>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</si>
  <si>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</si>
  <si>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</si>
  <si>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</si>
  <si>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</si>
  <si>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</si>
  <si>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</si>
  <si>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</si>
  <si>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</si>
  <si>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</si>
  <si>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</si>
  <si>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</si>
  <si>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</si>
  <si>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</si>
  <si>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</si>
  <si>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</si>
  <si>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</si>
  <si>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</si>
  <si>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</si>
  <si>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</si>
  <si>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</si>
  <si>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</si>
  <si>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</si>
  <si>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</si>
  <si>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</si>
  <si>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</si>
  <si>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</si>
  <si>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</si>
  <si>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</si>
  <si>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</si>
  <si>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</si>
  <si>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</si>
  <si>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</si>
  <si>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</si>
  <si>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</si>
  <si>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</si>
  <si>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</si>
  <si>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</si>
  <si>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</si>
  <si>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</si>
  <si>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</si>
  <si>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</si>
  <si>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</si>
  <si>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</si>
  <si>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</si>
  <si>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</si>
  <si>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</si>
  <si>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</si>
  <si>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</si>
  <si>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</si>
  <si>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</si>
  <si>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</si>
  <si>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</si>
  <si>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</si>
  <si>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</si>
  <si>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</si>
  <si>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</si>
  <si>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</si>
  <si>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</si>
  <si>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</si>
  <si>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</si>
  <si>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</si>
  <si>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</si>
  <si>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</si>
  <si>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</si>
  <si>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</si>
  <si>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</si>
  <si>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</si>
  <si>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</si>
  <si>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</si>
  <si>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</si>
  <si>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</si>
  <si>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</si>
  <si>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</si>
  <si>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</si>
  <si>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</si>
  <si>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</si>
  <si>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</si>
  <si>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</si>
  <si>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</si>
  <si>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</si>
  <si>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</si>
  <si>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</si>
  <si>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</si>
  <si>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</si>
  <si>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</si>
  <si>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</si>
  <si>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</si>
  <si>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</si>
  <si>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</si>
  <si>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</si>
  <si>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</si>
  <si>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</si>
  <si>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</si>
  <si>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</si>
  <si>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</si>
  <si>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</si>
  <si>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</si>
  <si>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</si>
  <si>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</si>
  <si>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</si>
  <si>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</si>
  <si>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</si>
  <si>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</si>
  <si>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</si>
  <si>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</si>
  <si>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</si>
  <si>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</si>
  <si>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</si>
  <si>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</si>
  <si>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</si>
  <si>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</si>
  <si>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</si>
  <si>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</si>
  <si>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</si>
  <si>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</si>
  <si>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</si>
  <si>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</si>
  <si>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</si>
  <si>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</si>
  <si>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</si>
  <si>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</si>
  <si>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</si>
  <si>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</si>
  <si>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</si>
  <si>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</si>
  <si>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</si>
  <si>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</si>
  <si>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</si>
  <si>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</si>
  <si>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</si>
  <si>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</si>
  <si>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</si>
  <si>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</si>
  <si>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</si>
  <si>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</si>
  <si>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</si>
  <si>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</si>
  <si>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</si>
  <si>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</si>
  <si>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</si>
  <si>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</si>
  <si>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</si>
  <si>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</si>
  <si>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</si>
  <si>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</si>
  <si>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</si>
  <si>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</si>
  <si>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</si>
  <si>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</si>
  <si>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</si>
  <si>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</si>
  <si>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</si>
  <si>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</si>
  <si>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2019</t>
  </si>
  <si>
    <t>2020</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</si>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</sst>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164" formatCode="0.0"/>
    <numFmt numFmtId="165" formatCode="dd\-mmm\-yyyy"/>
    <numFmt numFmtId="166" formatCode="0.0\ &quot;kg&quot;"/>
    <numFmt numFmtId="167" formatCode="_([$$-409]* #,##0.00_);_([$$-409]* \(#,##0.00\);_([$$-4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37" fontId="0" fillId="0" borderId="0" xfId="0" applyNumberFormat="1"/>
    <xf numFmtId="5" fontId="0" fillId="0" borderId="0" xfId="0" applyNumberFormat="1"/>
  </cellXfs>
  <cellStyles count="1">
    <cellStyle name="Normal" xfId="0" builtinId="0"/>
  </cellStyles>
  <dxfs count="29">
    <dxf>
      <font>
        <b/>
        <sz val="11"/>
        <color theme="1"/>
      </font>
    </dxf>
    <dxf>
      <font>
        <b val="0"/>
        <i val="0"/>
        <sz val="11"/>
        <name val="Calibri"/>
        <family val="2"/>
        <scheme val="minor"/>
      </font>
      <fill>
        <patternFill patternType="solid">
          <fgColor theme="0"/>
          <bgColor theme="5" tint="-0.24994659260841701"/>
        </patternFill>
      </fill>
      <border>
        <left style="thin">
          <color theme="5" tint="-0.499984740745262"/>
        </left>
        <right style="thin">
          <color theme="5" tint="-0.499984740745262"/>
        </right>
        <top style="thin">
          <color theme="5" tint="-0.499984740745262"/>
        </top>
        <bottom style="thin">
          <color theme="5" tint="-0.499984740745262"/>
        </bottom>
      </border>
    </dxf>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1"/>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rgb="FFC00000"/>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fill>
        <patternFill>
          <bgColor theme="5"/>
        </patternFill>
      </fill>
      <border>
        <left style="thin">
          <color auto="1"/>
        </left>
        <right style="thin">
          <color auto="1"/>
        </right>
        <top style="thin">
          <color auto="1"/>
        </top>
        <bottom style="thin">
          <color auto="1"/>
        </bottom>
      </border>
    </dxf>
  </dxfs>
  <tableStyles count="9" defaultTableStyle="TableStyleMedium2" defaultPivotStyle="PivotStyleMedium9">
    <tableStyle name="BROWN SLICER" pivot="0" table="0" count="2" xr9:uid="{45BA95DE-FB24-478D-B161-8B45F9501288}">
      <tableStyleElement type="wholeTable" dxfId="28"/>
    </tableStyle>
    <tableStyle name="Brown timeline style" pivot="0" table="0" count="9" xr9:uid="{0DA3A64F-E7DA-445E-B615-10C49499FEC2}">
      <tableStyleElement type="wholeTable" dxfId="1"/>
      <tableStyleElement type="headerRow" dxfId="0"/>
    </tableStyle>
    <tableStyle name="Timeline Style 1" pivot="0" table="0" count="8" xr9:uid="{16EA538E-2539-4FF3-A274-FF4A1FC65190}">
      <tableStyleElement type="wholeTable" dxfId="27"/>
      <tableStyleElement type="headerRow" dxfId="26"/>
    </tableStyle>
    <tableStyle name="Timeline Style 2" pivot="0" table="0" count="8" xr9:uid="{16203BBD-38D4-45B6-8412-560455B4250E}">
      <tableStyleElement type="wholeTable" dxfId="25"/>
      <tableStyleElement type="headerRow" dxfId="24"/>
    </tableStyle>
    <tableStyle name="Timeline Style 3" pivot="0" table="0" count="8" xr9:uid="{92DB66B1-9F02-43C5-AD02-87A11EA39F42}">
      <tableStyleElement type="wholeTable" dxfId="23"/>
      <tableStyleElement type="headerRow" dxfId="22"/>
    </tableStyle>
    <tableStyle name="Timeline Style 4" pivot="0" table="0" count="8" xr9:uid="{9C7BAEB2-4969-4576-B5D8-0FD5E081CCC6}">
      <tableStyleElement type="wholeTable" dxfId="21"/>
      <tableStyleElement type="headerRow" dxfId="20"/>
    </tableStyle>
    <tableStyle name="Timeline Style 5" pivot="0" table="0" count="8" xr9:uid="{7BCBD606-D495-413C-B609-5F087AA42759}">
      <tableStyleElement type="wholeTable" dxfId="19"/>
      <tableStyleElement type="headerRow" dxfId="18"/>
    </tableStyle>
    <tableStyle name="Timeline Style 6" pivot="0" table="0" count="8" xr9:uid="{A1082963-5952-417C-BEA7-672B2D02C6AC}">
      <tableStyleElement type="wholeTable" dxfId="17"/>
      <tableStyleElement type="headerRow" dxfId="16"/>
    </tableStyle>
    <tableStyle name="Timeline Style 7" pivot="0" table="0" count="9" xr9:uid="{BDC1EE63-BF0B-42A0-BF62-158F8704DE5D}">
      <tableStyleElement type="wholeTable" dxfId="15"/>
      <tableStyleElement type="headerRow" dxfId="14"/>
    </tableStyle>
  </tableStyles>
  <colors>
    <mruColors>
      <color rgb="FFF84426"/>
      <color rgb="FF4614C4"/>
      <color rgb="FF847EF2"/>
      <color rgb="FF1E14C4"/>
    </mruColors>
  </colors>
  <extLst>
    <ext xmlns:x14="http://schemas.microsoft.com/office/spreadsheetml/2009/9/main" uri="{46F421CA-312F-682f-3DD2-61675219B42D}">
      <x14:dxfs count="1">
        <dxf>
          <font>
            <b/>
            <i val="0"/>
            <sz val="12"/>
            <color theme="1"/>
            <name val="Calibri"/>
            <family val="2"/>
            <scheme val="minor"/>
          </font>
        </dxf>
      </x14:dxfs>
    </ext>
    <ext xmlns:x14="http://schemas.microsoft.com/office/spreadsheetml/2009/9/main" uri="{EB79DEF2-80B8-43e5-95BD-54CBDDF9020C}">
      <x14:slicerStyles defaultSlicerStyle="SlicerStyleLight1">
        <x14:slicerStyle name="BROWN SLICER">
          <x14:slicerStyleElements>
            <x14:slicerStyleElement type="selectedItemWithData" dxfId="0"/>
          </x14:slicerStyleElements>
        </x14:slicerStyle>
      </x14:slicerStyles>
    </ext>
    <ext xmlns:x15="http://schemas.microsoft.com/office/spreadsheetml/2010/11/main" uri="{A0A4C193-F2C1-4fcb-8827-314CF55A85BB}">
      <x15:dxfs count="57">
        <dxf>
          <fill>
            <patternFill>
              <bgColor theme="0"/>
            </patternFill>
          </fill>
        </dxf>
        <dxf>
          <fill>
            <patternFill patternType="solid">
              <fgColor theme="0" tint="-0.14996795556505021"/>
              <bgColor rgb="FFFF0000"/>
            </patternFill>
          </fill>
        </dxf>
        <dxf>
          <fill>
            <patternFill patternType="solid">
              <fgColor theme="0"/>
              <bgColor theme="0"/>
            </patternFill>
          </fill>
        </dxf>
        <dxf>
          <font>
            <b/>
            <i val="0"/>
            <sz val="11"/>
            <color theme="1"/>
            <name val="Calibri"/>
            <family val="2"/>
            <scheme val="minor"/>
          </font>
        </dxf>
        <dxf>
          <font>
            <b/>
            <i val="0"/>
            <sz val="10"/>
            <color auto="1"/>
            <name val="Calibri"/>
            <family val="2"/>
            <scheme val="minor"/>
          </font>
        </dxf>
        <dxf>
          <font>
            <b/>
            <i val="0"/>
            <sz val="10"/>
            <color auto="1"/>
            <name val="Calibri"/>
            <family val="2"/>
            <scheme val="minor"/>
          </font>
        </dxf>
        <dxf>
          <font>
            <b/>
            <i val="0"/>
            <sz val="10"/>
            <color auto="1"/>
            <name val="Calibri"/>
            <family val="2"/>
            <scheme val="minor"/>
          </font>
        </dxf>
        <dxf>
          <fill>
            <patternFill>
              <bgColor theme="1"/>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b/>
            <i val="0"/>
            <sz val="11"/>
            <color theme="1"/>
            <name val="Calibri"/>
            <family val="2"/>
            <scheme val="minor"/>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border>
            <left style="thin">
              <color auto="1"/>
            </left>
            <right style="thin">
              <color auto="1"/>
            </right>
            <top style="thin">
              <color auto="1"/>
            </top>
            <bottom style="thin">
              <color auto="1"/>
            </bottom>
          </border>
        </dxf>
        <dxf>
          <font>
            <b/>
            <i val="0"/>
            <sz val="11"/>
            <color theme="0"/>
            <name val="Calibri"/>
            <family val="2"/>
            <scheme val="minor"/>
          </font>
        </dxf>
        <dxf>
          <font>
            <b/>
            <i val="0"/>
            <sz val="11"/>
            <color theme="0"/>
            <name val="Calibri"/>
            <family val="2"/>
            <scheme val="minor"/>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b/>
            <i val="0"/>
            <sz val="10"/>
            <color theme="1" tint="0.499984740745262"/>
            <name val="Calibri"/>
            <family val="2"/>
            <scheme val="minor"/>
          </font>
        </dxf>
        <dxf>
          <font>
            <b/>
            <i val="0"/>
            <sz val="11"/>
            <color theme="0"/>
            <name val="Calibri"/>
            <family val="2"/>
            <scheme val="minor"/>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b val="0"/>
            <i/>
            <sz val="10"/>
            <color theme="1" tint="0.499984740745262"/>
            <name val="Calibri"/>
            <family val="2"/>
            <scheme val="minor"/>
          </font>
        </dxf>
        <dxf>
          <font>
            <b/>
            <i val="0"/>
            <sz val="10"/>
            <color theme="1" tint="0.499984740745262"/>
            <name val="Calibri"/>
            <family val="2"/>
            <scheme val="minor"/>
          </font>
        </dxf>
        <dxf>
          <fill>
            <patternFill>
              <bgColor theme="0"/>
            </patternFill>
          </fill>
        </dxf>
        <dxf>
          <fill>
            <patternFill patternType="solid">
              <fgColor theme="0" tint="-0.14999847407452621"/>
              <bgColor theme="0" tint="-0.14999847407452621"/>
            </patternFill>
          </fill>
        </dxf>
        <dxf>
          <fill>
            <patternFill patternType="solid">
              <fgColor theme="0"/>
              <bgColor theme="0"/>
            </patternFill>
          </fill>
        </dxf>
        <dxf>
          <font>
            <b/>
            <i val="0"/>
            <sz val="11"/>
            <color theme="1"/>
            <name val="Calibri"/>
            <family val="2"/>
            <scheme val="minor"/>
          </font>
        </dxf>
        <dxf>
          <font>
            <b/>
            <i val="0"/>
            <sz val="10"/>
            <color auto="1"/>
            <name val="Calibri"/>
            <family val="2"/>
            <scheme val="minor"/>
          </font>
        </dxf>
        <dxf>
          <font>
            <b/>
            <i val="0"/>
            <sz val="10"/>
            <color auto="1"/>
            <name val="Calibri"/>
            <family val="2"/>
            <scheme val="minor"/>
          </font>
        </dxf>
        <dxf>
          <font>
            <b/>
            <i val="0"/>
            <sz val="10"/>
            <color auto="1"/>
            <name val="Calibri"/>
            <family val="2"/>
            <scheme val="minor"/>
          </font>
        </dxf>
      </x15:dxfs>
    </ext>
    <ext xmlns:x15="http://schemas.microsoft.com/office/spreadsheetml/2010/11/main" uri="{9260A510-F301-46a8-8635-F512D64BE5F5}">
      <x15:timelineStyles defaultTimelineStyle="TimeSlicerStyleLight1">
        <x15:timelineStyle name="Brown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 name="Timeline Style 1">
          <x15:timelineStyleElements>
            <x15:timelineStyleElement type="selectionLabel" dxfId="49"/>
            <x15:timelineStyleElement type="timeLevel" dxfId="48"/>
            <x15:timelineStyleElement type="periodLabel1" dxfId="47"/>
            <x15:timelineStyleElement type="periodLabel2" dxfId="46"/>
            <x15:timelineStyleElement type="selectedTimeBlock" dxfId="45"/>
            <x15:timelineStyleElement type="unselectedTimeBlock" dxfId="44"/>
          </x15:timelineStyleElements>
        </x15:timelineStyle>
        <x15:timelineStyle name="Timeline Style 2">
          <x15:timelineStyleElements>
            <x15:timelineStyleElement type="selectionLabel" dxfId="43"/>
            <x15:timelineStyleElement type="timeLevel" dxfId="42"/>
            <x15:timelineStyleElement type="periodLabel1" dxfId="41"/>
            <x15:timelineStyleElement type="periodLabel2" dxfId="40"/>
            <x15:timelineStyleElement type="selectedTimeBlock" dxfId="39"/>
            <x15:timelineStyleElement type="unselectedTimeBlock" dxfId="38"/>
          </x15:timelineStyleElements>
        </x15:timelineStyle>
        <x15:timelineStyle name="Timeline Style 3">
          <x15:timelineStyleElements>
            <x15:timelineStyleElement type="selectionLabel" dxfId="37"/>
            <x15:timelineStyleElement type="timeLevel" dxfId="36"/>
            <x15:timelineStyleElement type="periodLabel1" dxfId="35"/>
            <x15:timelineStyleElement type="periodLabel2" dxfId="34"/>
            <x15:timelineStyleElement type="selectedTimeBlock" dxfId="33"/>
            <x15:timelineStyleElement type="unselectedTimeBlock" dxfId="32"/>
          </x15:timelineStyleElements>
        </x15:timelineStyle>
        <x15:timelineStyle name="Timeline Style 4">
          <x15:timelineStyleElements>
            <x15:timelineStyleElement type="selectionLabel" dxfId="31"/>
            <x15:timelineStyleElement type="timeLevel" dxfId="30"/>
            <x15:timelineStyleElement type="periodLabel1" dxfId="29"/>
            <x15:timelineStyleElement type="periodLabel2" dxfId="28"/>
            <x15:timelineStyleElement type="selectedTimeBlock" dxfId="27"/>
            <x15:timelineStyleElement type="unselectedTimeBlock" dxfId="26"/>
          </x15:timelineStyleElements>
        </x15:timelineStyle>
        <x15:timelineStyle name="Timeline Style 5">
          <x15:timelineStyleElements>
            <x15:timelineStyleElement type="selectionLabel" dxfId="25"/>
            <x15:timelineStyleElement type="timeLevel" dxfId="24"/>
            <x15:timelineStyleElement type="periodLabel1" dxfId="23"/>
            <x15:timelineStyleElement type="periodLabel2" dxfId="22"/>
            <x15:timelineStyleElement type="selectedTimeBlock" dxfId="21"/>
            <x15:timelineStyleElement type="unselectedTimeBlock" dxfId="20"/>
          </x15:timelineStyleElements>
        </x15:timelineStyle>
        <x15:timelineStyle name="Timeline Style 6">
          <x15:timelineStyleElements>
            <x15:timelineStyleElement type="selectionLabel" dxfId="19"/>
            <x15:timelineStyleElement type="timeLevel" dxfId="18"/>
            <x15:timelineStyleElement type="periodLabel1" dxfId="17"/>
            <x15:timelineStyleElement type="periodLabel2" dxfId="16"/>
            <x15:timelineStyleElement type="selectedTimeBlock" dxfId="15"/>
            <x15:timelineStyleElement type="unselectedTimeBlock" dxfId="14"/>
          </x15:timelineStyleElements>
        </x15:timelineStyle>
        <x15:timelineStyle name="Timeline Style 7">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[coffeeOrdersData.xlsx]CountryBarChart!PivotTable1</c:name>
    <c:fmtId val="14"/>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bg1"/>
            </a:solidFill>
          </a:ln>
          <a:effectLst/>
        </c:spPr>
      </c:pivotFmt>
      <c:pivotFmt>
        <c:idx val="2"/>
        <c:spPr>
          <a:solidFill>
            <a:schemeClr val="accent6"/>
          </a:solidFill>
          <a:ln w="25400">
            <a:solidFill>
              <a:schemeClr val="bg1"/>
            </a:solidFill>
          </a:ln>
          <a:effectLst/>
        </c:spPr>
      </c:pivotFmt>
      <c:pivotFmt>
        <c:idx val="3"/>
        <c:spPr>
          <a:solidFill>
            <a:schemeClr val="accent6">
              <a:lumMod val="60000"/>
              <a:lumOff val="40000"/>
            </a:schemeClr>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chemeClr val="accent6">
                <a:lumMod val="75000"/>
              </a:schemeClr>
            </a:solidFill>
            <a:ln w="25400">
              <a:solidFill>
                <a:schemeClr val="bg1"/>
              </a:solidFill>
            </a:ln>
            <a:effectLst/>
          </c:spPr>
          <c:invertIfNegative val="0"/>
          <c:dPt>
            <c:idx val="0"/>
            <c:invertIfNegative val="0"/>
            <c:bubble3D val="0"/>
            <c:spPr>
              <a:solidFill>
                <a:schemeClr val="accent6">
                  <a:lumMod val="60000"/>
                  <a:lumOff val="40000"/>
                </a:schemeClr>
              </a:solidFill>
              <a:ln w="25400">
                <a:solidFill>
                  <a:schemeClr val="bg1"/>
                </a:solidFill>
              </a:ln>
              <a:effectLst/>
            </c:spPr>
            <c:extLst>
              <c:ext xmlns:c16="http://schemas.microsoft.com/office/drawing/2014/chart" uri="{C3380CC4-5D6E-409C-BE32-E72D297353CC}">
                <c16:uniqueId val="{00000004-69D9-44D8-B0FB-E6F91D72D2C2}"/>
              </c:ext>
            </c:extLst>
          </c:dPt>
          <c:dPt>
            <c:idx val="1"/>
            <c:invertIfNegative val="0"/>
            <c:bubble3D val="0"/>
            <c:spPr>
              <a:solidFill>
                <a:schemeClr val="accent6"/>
              </a:solidFill>
              <a:ln w="25400">
                <a:solidFill>
                  <a:schemeClr val="bg1"/>
                </a:solidFill>
              </a:ln>
              <a:effectLst/>
            </c:spPr>
            <c:extLst>
              <c:ext xmlns:c16="http://schemas.microsoft.com/office/drawing/2014/chart" uri="{C3380CC4-5D6E-409C-BE32-E72D297353CC}">
                <c16:uniqueId val="{00000003-69D9-44D8-B0FB-E6F91D72D2C2}"/>
              </c:ext>
            </c:extLst>
          </c:dPt>
          <c:dPt>
            <c:idx val="2"/>
            <c:invertIfNegative val="0"/>
            <c:bubble3D val="0"/>
            <c:spPr>
              <a:solidFill>
                <a:schemeClr val="accent6">
                  <a:lumMod val="50000"/>
                </a:schemeClr>
              </a:solidFill>
              <a:ln w="25400">
                <a:solidFill>
                  <a:schemeClr val="bg1"/>
                </a:solidFill>
              </a:ln>
              <a:effectLst/>
            </c:spPr>
            <c:extLst>
              <c:ext xmlns:c16="http://schemas.microsoft.com/office/drawing/2014/chart" uri="{C3380CC4-5D6E-409C-BE32-E72D297353CC}">
                <c16:uniqueId val="{00000002-69D9-44D8-B0FB-E6F91D72D2C2}"/>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9D9-44D8-B0FB-E6F91D72D2C2}"/>
                </c:ext>
              </c:extLst>
            </c:dLbl>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"$"#,##0_);\("$"#,##0\)</c:formatCode>
                <c:ptCount val="3"/>
                <c:pt idx="0">
                  <c:v>1644.68</c:v>
                </c:pt>
                <c:pt idx="1">
                  <c:v>2528.3750000000005</c:v>
                </c:pt>
                <c:pt idx="2">
                  <c:v>14433.794999999993</c:v>
                </c:pt>
              </c:numCache>
            </c:numRef>
          </c:val>
          <c:extLst>
            <c:ext xmlns:c16="http://schemas.microsoft.com/office/drawing/2014/chart" uri="{C3380CC4-5D6E-409C-BE32-E72D297353CC}">
              <c16:uniqueId val="{00000000-69D9-44D8-B0FB-E6F91D72D2C2}"/>
            </c:ext>
          </c:extLst>
        </c:ser>
        <c:dLbls>
          <c:showLegendKey val="0"/>
          <c:showVal val="0"/>
          <c:showCatName val="0"/>
          <c:showSerName val="0"/>
          <c:showPercent val="0"/>
          <c:showBubbleSize val="0"/>
        </c:dLbls>
        <c:gapWidth val="219"/>
        <c:axId val="1179307440"/>
        <c:axId val="1179307920"/>
      </c:barChart>
      <c:catAx>
        <c:axId val="11793074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1179307920"/>
        <c:crosses val="autoZero"/>
        <c:auto val="1"/>
        <c:lblAlgn val="ctr"/>
        <c:lblOffset val="100"/>
        <c:noMultiLvlLbl val="0"/>
      </c:catAx>
      <c:valAx>
        <c:axId val="1179307920"/>
        <c:scaling>
          <c:orientation val="minMax"/>
        </c:scaling>
        <c:delete val="0"/>
        <c:axPos val="b"/>
        <c:majorGridlines>
          <c:spPr>
            <a:ln w="9525" cap="flat" cmpd="sng" algn="ctr">
              <a:solidFill>
                <a:schemeClr val="bg1"/>
              </a:soli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117930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solidFill>
            <a:srgbClr val="C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Sales!PivotTable1</c:name>
    <c:fmtId val="7"/>
  </c:pivotSource>
  <c:chart>
    <c:title>
      <c:tx>
        <c:rich>
          <a:bodyPr rot="0" spcFirstLastPara="1" vertOverflow="ellipsis" vert="horz" wrap="square" anchor="ctr" anchorCtr="1"/>
          <a:lstStyle/>
          <a:p>
            <a:pPr>
              <a:defRPr sz="1400" b="0" i="0" u="none" strike="noStrike" kern="1200" spc="0" baseline="0">
                <a:solidFill>
                  <a:srgbClr val="4614C4"/>
                </a:solidFill>
                <a:latin typeface="+mn-lt"/>
                <a:ea typeface="+mn-ea"/>
                <a:cs typeface="+mn-cs"/>
              </a:defRPr>
            </a:pPr>
            <a:r>
              <a:rPr lang="en-US"/>
              <a:t>Total</a:t>
            </a:r>
            <a:r>
              <a:rPr lang="en-US" baseline="0"/>
              <a:t> Sales Over Time</a:t>
            </a:r>
            <a:endParaRPr lang="en-US"/>
          </a:p>
        </c:rich>
      </c:tx>
      <c:layout>
        <c:manualLayout>
          <c:xMode val="edge"/>
          <c:yMode val="edge"/>
          <c:x val="0.33985088985088985"/>
          <c:y val="2.08722555401051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4614C4"/>
              </a:solidFill>
              <a:latin typeface="+mn-lt"/>
              <a:ea typeface="+mn-ea"/>
              <a:cs typeface="+mn-cs"/>
            </a:defRPr>
          </a:pPr>
          <a:endParaRPr lang="en-US"/>
        </a:p>
      </c:txPr>
    </c:title>
    <c:autoTitleDeleted val="0"/>
    <c:pivotFmts>
      <c:pivotFmt>
        <c:idx val="0"/>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614C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614C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614C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614C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0000"/>
            </a:solidFill>
            <a:round/>
          </a:ln>
          <a:effectLst/>
        </c:spPr>
        <c:marker>
          <c:symbol val="none"/>
        </c:marker>
      </c:pivotFmt>
    </c:pivotFmts>
    <c:plotArea>
      <c:layout>
        <c:manualLayout>
          <c:layoutTarget val="inner"/>
          <c:xMode val="edge"/>
          <c:yMode val="edge"/>
          <c:x val="9.2715107346976813E-2"/>
          <c:y val="0.11838038121724492"/>
          <c:w val="0.72653143442980284"/>
          <c:h val="0.72788306799241331"/>
        </c:manualLayout>
      </c:layout>
      <c:lineChart>
        <c:grouping val="standard"/>
        <c:varyColors val="0"/>
        <c:ser>
          <c:idx val="0"/>
          <c:order val="0"/>
          <c:tx>
            <c:strRef>
              <c:f>'Total Sales'!$C$3:$C$4</c:f>
              <c:strCache>
                <c:ptCount val="1"/>
                <c:pt idx="0">
                  <c:v>Arabica</c:v>
                </c:pt>
              </c:strCache>
            </c:strRef>
          </c:tx>
          <c:spPr>
            <a:ln w="28575" cap="rnd">
              <a:solidFill>
                <a:srgbClr val="7030A0"/>
              </a:solidFill>
              <a:round/>
            </a:ln>
            <a:effectLst/>
          </c:spPr>
          <c:marker>
            <c:symbol val="none"/>
          </c:marker>
          <c:cat>
            <c:multiLvlStrRef>
              <c:f>'Total Sales'!$A$5:$B$22</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2019</c:v>
                  </c:pt>
                  <c:pt idx="12">
                    <c:v>2020</c:v>
                  </c:pt>
                </c:lvl>
              </c:multiLvlStrCache>
            </c:multiLvlStrRef>
          </c:cat>
          <c:val>
            <c:numRef>
              <c:f>'Total Sales'!$C$5:$C$22</c:f>
              <c:numCache>
                <c:formatCode>#,##0_);\(#,##0\)</c:formatCode>
                <c:ptCount val="18"/>
                <c:pt idx="0">
                  <c:v>186.85499999999999</c:v>
                </c:pt>
                <c:pt idx="1">
                  <c:v>251.965</c:v>
                </c:pt>
                <c:pt idx="2">
                  <c:v>224.94499999999999</c:v>
                </c:pt>
                <c:pt idx="3">
                  <c:v>307.12</c:v>
                </c:pt>
                <c:pt idx="4">
                  <c:v>53.664999999999992</c:v>
                </c:pt>
                <c:pt idx="5">
                  <c:v>163.01999999999998</c:v>
                </c:pt>
                <c:pt idx="6">
                  <c:v>345.02</c:v>
                </c:pt>
                <c:pt idx="7">
                  <c:v>334.89</c:v>
                </c:pt>
                <c:pt idx="8">
                  <c:v>178.70999999999998</c:v>
                </c:pt>
                <c:pt idx="9">
                  <c:v>301.98499999999996</c:v>
                </c:pt>
                <c:pt idx="10">
                  <c:v>312.83499999999998</c:v>
                </c:pt>
                <c:pt idx="11">
                  <c:v>265.62</c:v>
                </c:pt>
                <c:pt idx="12">
                  <c:v>47.25</c:v>
                </c:pt>
                <c:pt idx="13">
                  <c:v>745.44999999999993</c:v>
                </c:pt>
                <c:pt idx="14">
                  <c:v>130.47</c:v>
                </c:pt>
                <c:pt idx="15">
                  <c:v>27</c:v>
                </c:pt>
                <c:pt idx="16">
                  <c:v>255.11499999999995</c:v>
                </c:pt>
                <c:pt idx="17">
                  <c:v>584.79</c:v>
                </c:pt>
              </c:numCache>
            </c:numRef>
          </c:val>
          <c:smooth val="0"/>
          <c:extLst>
            <c:ext xmlns:c16="http://schemas.microsoft.com/office/drawing/2014/chart" uri="{C3380CC4-5D6E-409C-BE32-E72D297353CC}">
              <c16:uniqueId val="{00000006-FFB3-4704-BAFC-CF9A5E0656F2}"/>
            </c:ext>
          </c:extLst>
        </c:ser>
        <c:ser>
          <c:idx val="1"/>
          <c:order val="1"/>
          <c:tx>
            <c:strRef>
              <c:f>'Total Sales'!$D$3:$D$4</c:f>
              <c:strCache>
                <c:ptCount val="1"/>
                <c:pt idx="0">
                  <c:v>Excelsa</c:v>
                </c:pt>
              </c:strCache>
            </c:strRef>
          </c:tx>
          <c:spPr>
            <a:ln w="28575" cap="rnd">
              <a:solidFill>
                <a:schemeClr val="accent2"/>
              </a:solidFill>
              <a:round/>
            </a:ln>
            <a:effectLst/>
          </c:spPr>
          <c:marker>
            <c:symbol val="none"/>
          </c:marker>
          <c:dPt>
            <c:idx val="34"/>
            <c:marker>
              <c:symbol val="none"/>
            </c:marker>
            <c:bubble3D val="0"/>
            <c:extLst>
              <c:ext xmlns:c16="http://schemas.microsoft.com/office/drawing/2014/chart" uri="{C3380CC4-5D6E-409C-BE32-E72D297353CC}">
                <c16:uniqueId val="{00000001-66D2-46C0-80CA-B41552F42893}"/>
              </c:ext>
            </c:extLst>
          </c:dPt>
          <c:cat>
            <c:multiLvlStrRef>
              <c:f>'Total Sales'!$A$5:$B$22</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2019</c:v>
                  </c:pt>
                  <c:pt idx="12">
                    <c:v>2020</c:v>
                  </c:pt>
                </c:lvl>
              </c:multiLvlStrCache>
            </c:multiLvlStrRef>
          </c:cat>
          <c:val>
            <c:numRef>
              <c:f>'Total Sales'!$D$5:$D$22</c:f>
              <c:numCache>
                <c:formatCode>#,##0_);\(#,##0\)</c:formatCode>
                <c:ptCount val="18"/>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357.42999999999989</c:v>
                </c:pt>
              </c:numCache>
            </c:numRef>
          </c:val>
          <c:smooth val="0"/>
          <c:extLst>
            <c:ext xmlns:c16="http://schemas.microsoft.com/office/drawing/2014/chart" uri="{C3380CC4-5D6E-409C-BE32-E72D297353CC}">
              <c16:uniqueId val="{00000007-FFB3-4704-BAFC-CF9A5E0656F2}"/>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Sales'!$A$5:$B$22</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2019</c:v>
                  </c:pt>
                  <c:pt idx="12">
                    <c:v>2020</c:v>
                  </c:pt>
                </c:lvl>
              </c:multiLvlStrCache>
            </c:multiLvlStrRef>
          </c:cat>
          <c:val>
            <c:numRef>
              <c:f>'Total Sales'!$E$5:$E$22</c:f>
              <c:numCache>
                <c:formatCode>#,##0_);\(#,##0\)</c:formatCode>
                <c:ptCount val="18"/>
                <c:pt idx="0">
                  <c:v>213.16</c:v>
                </c:pt>
                <c:pt idx="1">
                  <c:v>434.03999999999991</c:v>
                </c:pt>
                <c:pt idx="2">
                  <c:v>321.03999999999996</c:v>
                </c:pt>
                <c:pt idx="3">
                  <c:v>533.70499999999993</c:v>
                </c:pt>
                <c:pt idx="4">
                  <c:v>193.83499999999998</c:v>
                </c:pt>
                <c:pt idx="5">
                  <c:v>171.04499999999999</c:v>
                </c:pt>
                <c:pt idx="6">
                  <c:v>184.13</c:v>
                </c:pt>
                <c:pt idx="7">
                  <c:v>134.23000000000002</c:v>
                </c:pt>
                <c:pt idx="8">
                  <c:v>439.30999999999995</c:v>
                </c:pt>
                <c:pt idx="9">
                  <c:v>215.55499999999998</c:v>
                </c:pt>
                <c:pt idx="10">
                  <c:v>350.89499999999998</c:v>
                </c:pt>
                <c:pt idx="11">
                  <c:v>187.05999999999997</c:v>
                </c:pt>
                <c:pt idx="12">
                  <c:v>274.67500000000001</c:v>
                </c:pt>
                <c:pt idx="13">
                  <c:v>194.17500000000001</c:v>
                </c:pt>
                <c:pt idx="14">
                  <c:v>281.20499999999998</c:v>
                </c:pt>
                <c:pt idx="15">
                  <c:v>147.51000000000002</c:v>
                </c:pt>
                <c:pt idx="16">
                  <c:v>83.429999999999993</c:v>
                </c:pt>
                <c:pt idx="17">
                  <c:v>355.34</c:v>
                </c:pt>
              </c:numCache>
            </c:numRef>
          </c:val>
          <c:smooth val="0"/>
          <c:extLst>
            <c:ext xmlns:c16="http://schemas.microsoft.com/office/drawing/2014/chart" uri="{C3380CC4-5D6E-409C-BE32-E72D297353CC}">
              <c16:uniqueId val="{00000008-FFB3-4704-BAFC-CF9A5E0656F2}"/>
            </c:ext>
          </c:extLst>
        </c:ser>
        <c:ser>
          <c:idx val="3"/>
          <c:order val="3"/>
          <c:tx>
            <c:strRef>
              <c:f>'Total Sales'!$F$3:$F$4</c:f>
              <c:strCache>
                <c:ptCount val="1"/>
                <c:pt idx="0">
                  <c:v>Robusta</c:v>
                </c:pt>
              </c:strCache>
            </c:strRef>
          </c:tx>
          <c:spPr>
            <a:ln w="28575" cap="rnd">
              <a:solidFill>
                <a:schemeClr val="accent2">
                  <a:lumMod val="50000"/>
                </a:schemeClr>
              </a:solidFill>
              <a:round/>
            </a:ln>
            <a:effectLst/>
          </c:spPr>
          <c:marker>
            <c:symbol val="none"/>
          </c:marker>
          <c:cat>
            <c:multiLvlStrRef>
              <c:f>'Total Sales'!$A$5:$B$22</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2019</c:v>
                  </c:pt>
                  <c:pt idx="12">
                    <c:v>2020</c:v>
                  </c:pt>
                </c:lvl>
              </c:multiLvlStrCache>
            </c:multiLvlStrRef>
          </c:cat>
          <c:val>
            <c:numRef>
              <c:f>'Total Sales'!$F$5:$F$22</c:f>
              <c:numCache>
                <c:formatCode>#,##0_);\(#,##0\)</c:formatCode>
                <c:ptCount val="18"/>
                <c:pt idx="0">
                  <c:v>123</c:v>
                </c:pt>
                <c:pt idx="1">
                  <c:v>171.93999999999997</c:v>
                </c:pt>
                <c:pt idx="2">
                  <c:v>126.035</c:v>
                </c:pt>
                <c:pt idx="3">
                  <c:v>158.85</c:v>
                </c:pt>
                <c:pt idx="4">
                  <c:v>68.039999999999992</c:v>
                </c:pt>
                <c:pt idx="5">
                  <c:v>372.255</c:v>
                </c:pt>
                <c:pt idx="6">
                  <c:v>201.11499999999998</c:v>
                </c:pt>
                <c:pt idx="7">
                  <c:v>166.27499999999998</c:v>
                </c:pt>
                <c:pt idx="8">
                  <c:v>492.89999999999992</c:v>
                </c:pt>
                <c:pt idx="9">
                  <c:v>213.66499999999999</c:v>
                </c:pt>
                <c:pt idx="10">
                  <c:v>96.404999999999987</c:v>
                </c:pt>
                <c:pt idx="11">
                  <c:v>210.58999999999997</c:v>
                </c:pt>
                <c:pt idx="12">
                  <c:v>179.21999999999997</c:v>
                </c:pt>
                <c:pt idx="13">
                  <c:v>429.83</c:v>
                </c:pt>
                <c:pt idx="14">
                  <c:v>231.63</c:v>
                </c:pt>
                <c:pt idx="15">
                  <c:v>240.04</c:v>
                </c:pt>
                <c:pt idx="16">
                  <c:v>59.079999999999991</c:v>
                </c:pt>
                <c:pt idx="17">
                  <c:v>140.87999999999997</c:v>
                </c:pt>
              </c:numCache>
            </c:numRef>
          </c:val>
          <c:smooth val="0"/>
          <c:extLst>
            <c:ext xmlns:c16="http://schemas.microsoft.com/office/drawing/2014/chart" uri="{C3380CC4-5D6E-409C-BE32-E72D297353CC}">
              <c16:uniqueId val="{00000002-66D2-46C0-80CA-B41552F42893}"/>
            </c:ext>
          </c:extLst>
        </c:ser>
        <c:dLbls>
          <c:showLegendKey val="0"/>
          <c:showVal val="0"/>
          <c:showCatName val="0"/>
          <c:showSerName val="0"/>
          <c:showPercent val="0"/>
          <c:showBubbleSize val="0"/>
        </c:dLbls>
        <c:smooth val="0"/>
        <c:axId val="776202496"/>
        <c:axId val="776201056"/>
      </c:lineChart>
      <c:catAx>
        <c:axId val="77620249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614C4"/>
                </a:solidFill>
                <a:latin typeface="+mn-lt"/>
                <a:ea typeface="+mn-ea"/>
                <a:cs typeface="+mn-cs"/>
              </a:defRPr>
            </a:pPr>
            <a:endParaRPr lang="en-US"/>
          </a:p>
        </c:txPr>
        <c:crossAx val="776201056"/>
        <c:crosses val="autoZero"/>
        <c:auto val="1"/>
        <c:lblAlgn val="ctr"/>
        <c:lblOffset val="100"/>
        <c:noMultiLvlLbl val="0"/>
      </c:catAx>
      <c:valAx>
        <c:axId val="776201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4614C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4614C4"/>
                  </a:solidFill>
                  <a:latin typeface="+mn-lt"/>
                  <a:ea typeface="+mn-ea"/>
                  <a:cs typeface="+mn-cs"/>
                </a:defRPr>
              </a:pPr>
              <a:endParaRPr lang="en-US"/>
            </a:p>
          </c:txPr>
        </c:title>
        <c:numFmt formatCode="#,##0_);\(#,##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614C4"/>
                </a:solidFill>
                <a:latin typeface="+mn-lt"/>
                <a:ea typeface="+mn-ea"/>
                <a:cs typeface="+mn-cs"/>
              </a:defRPr>
            </a:pPr>
            <a:endParaRPr lang="en-US"/>
          </a:p>
        </c:txPr>
        <c:crossAx val="776202496"/>
        <c:crosses val="autoZero"/>
        <c:crossBetween val="between"/>
      </c:valAx>
      <c:spPr>
        <a:solidFill>
          <a:schemeClr val="accent2">
            <a:lumMod val="60000"/>
            <a:lumOff val="40000"/>
          </a:schemeClr>
        </a:solidFill>
        <a:ln>
          <a:noFill/>
        </a:ln>
        <a:effectLst/>
      </c:spPr>
    </c:plotArea>
    <c:legend>
      <c:legendPos val="r"/>
      <c:layout>
        <c:manualLayout>
          <c:xMode val="edge"/>
          <c:yMode val="edge"/>
          <c:x val="0.83044733044733043"/>
          <c:y val="0.39898880462260744"/>
          <c:w val="0.15512265512265513"/>
          <c:h val="0.29624413145539907"/>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defRPr sz="900" b="0" i="0" u="none" strike="noStrike" kern="1200" baseline="0">
              <a:solidFill>
                <a:srgbClr val="4614C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solidFill>
            <a:srgbClr val="4614C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Customers!PivotTable1</c:name>
    <c:fmtId val="16"/>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bg1"/>
            </a:solidFill>
          </a:ln>
          <a:effectLst/>
        </c:spPr>
      </c:pivotFmt>
      <c:pivotFmt>
        <c:idx val="2"/>
        <c:spPr>
          <a:solidFill>
            <a:schemeClr val="accent6"/>
          </a:solidFill>
          <a:ln w="25400">
            <a:solidFill>
              <a:schemeClr val="bg1"/>
            </a:solidFill>
          </a:ln>
          <a:effectLst/>
        </c:spPr>
      </c:pivotFmt>
      <c:pivotFmt>
        <c:idx val="3"/>
        <c:spPr>
          <a:solidFill>
            <a:schemeClr val="accent6">
              <a:lumMod val="60000"/>
              <a:lumOff val="40000"/>
            </a:schemeClr>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25400">
            <a:solidFill>
              <a:schemeClr val="bg1"/>
            </a:solidFill>
          </a:ln>
          <a:effectLst/>
        </c:spPr>
      </c:pivotFmt>
      <c:pivotFmt>
        <c:idx val="7"/>
        <c:spPr>
          <a:solidFill>
            <a:schemeClr val="accent6">
              <a:lumMod val="50000"/>
            </a:schemeClr>
          </a:solidFill>
          <a:ln w="25400">
            <a:solidFill>
              <a:schemeClr val="bg1"/>
            </a:solidFill>
          </a:ln>
          <a:effectLst/>
        </c:spPr>
      </c:pivotFmt>
    </c:pivotFmts>
    <c:plotArea>
      <c:layout/>
      <c:barChart>
        <c:barDir val="bar"/>
        <c:grouping val="clustered"/>
        <c:varyColors val="0"/>
        <c:ser>
          <c:idx val="0"/>
          <c:order val="0"/>
          <c:tx>
            <c:strRef>
              <c:f>'Top 5 Customers'!$B$3</c:f>
              <c:strCache>
                <c:ptCount val="1"/>
                <c:pt idx="0">
                  <c:v>Total</c:v>
                </c:pt>
              </c:strCache>
            </c:strRef>
          </c:tx>
          <c:spPr>
            <a:solidFill>
              <a:schemeClr val="accent6">
                <a:lumMod val="75000"/>
              </a:schemeClr>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1-C709-49A9-9CFA-A91ADF953718}"/>
              </c:ext>
            </c:extLst>
          </c:dPt>
          <c:dPt>
            <c:idx val="1"/>
            <c:invertIfNegative val="0"/>
            <c:bubble3D val="0"/>
            <c:extLst>
              <c:ext xmlns:c16="http://schemas.microsoft.com/office/drawing/2014/chart" uri="{C3380CC4-5D6E-409C-BE32-E72D297353CC}">
                <c16:uniqueId val="{00000003-C709-49A9-9CFA-A91ADF953718}"/>
              </c:ext>
            </c:extLst>
          </c:dPt>
          <c:dPt>
            <c:idx val="2"/>
            <c:invertIfNegative val="0"/>
            <c:bubble3D val="0"/>
            <c:extLst>
              <c:ext xmlns:c16="http://schemas.microsoft.com/office/drawing/2014/chart" uri="{C3380CC4-5D6E-409C-BE32-E72D297353CC}">
                <c16:uniqueId val="{00000005-C709-49A9-9CFA-A91ADF953718}"/>
              </c:ext>
            </c:extLst>
          </c:dPt>
          <c:dLbls>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Customers'!$A$4:$A$11</c:f>
              <c:strCache>
                <c:ptCount val="8"/>
                <c:pt idx="0">
                  <c:v>Elysee Sketch</c:v>
                </c:pt>
                <c:pt idx="1">
                  <c:v>Shelli Keynd</c:v>
                </c:pt>
                <c:pt idx="2">
                  <c:v>Lacee Tanti</c:v>
                </c:pt>
                <c:pt idx="3">
                  <c:v>Daniel Heinonen</c:v>
                </c:pt>
                <c:pt idx="4">
                  <c:v>Nanny Lush</c:v>
                </c:pt>
                <c:pt idx="5">
                  <c:v>Don Flintiff</c:v>
                </c:pt>
                <c:pt idx="6">
                  <c:v>Allis Wilmore</c:v>
                </c:pt>
                <c:pt idx="7">
                  <c:v>Brenn Dundredge</c:v>
                </c:pt>
              </c:strCache>
            </c:strRef>
          </c:cat>
          <c:val>
            <c:numRef>
              <c:f>'Top 5 Customers'!$B$4:$B$11</c:f>
              <c:numCache>
                <c:formatCode>"$"#,##0_);\("$"#,##0\)</c:formatCode>
                <c:ptCount val="8"/>
                <c:pt idx="0">
                  <c:v>204.92999999999995</c:v>
                </c:pt>
                <c:pt idx="1">
                  <c:v>204.92999999999995</c:v>
                </c:pt>
                <c:pt idx="2">
                  <c:v>204.92999999999995</c:v>
                </c:pt>
                <c:pt idx="3">
                  <c:v>204.92999999999995</c:v>
                </c:pt>
                <c:pt idx="4">
                  <c:v>204.92999999999995</c:v>
                </c:pt>
                <c:pt idx="5">
                  <c:v>219.81</c:v>
                </c:pt>
                <c:pt idx="6">
                  <c:v>237.81999999999996</c:v>
                </c:pt>
                <c:pt idx="7">
                  <c:v>248.36499999999995</c:v>
                </c:pt>
              </c:numCache>
            </c:numRef>
          </c:val>
          <c:extLst>
            <c:ext xmlns:c16="http://schemas.microsoft.com/office/drawing/2014/chart" uri="{C3380CC4-5D6E-409C-BE32-E72D297353CC}">
              <c16:uniqueId val="{00000006-C709-49A9-9CFA-A91ADF953718}"/>
            </c:ext>
          </c:extLst>
        </c:ser>
        <c:dLbls>
          <c:showLegendKey val="0"/>
          <c:showVal val="0"/>
          <c:showCatName val="0"/>
          <c:showSerName val="0"/>
          <c:showPercent val="0"/>
          <c:showBubbleSize val="0"/>
        </c:dLbls>
        <c:gapWidth val="219"/>
        <c:axId val="1179307440"/>
        <c:axId val="1179307920"/>
      </c:barChart>
      <c:catAx>
        <c:axId val="11793074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1179307920"/>
        <c:crosses val="autoZero"/>
        <c:auto val="1"/>
        <c:lblAlgn val="ctr"/>
        <c:lblOffset val="100"/>
        <c:noMultiLvlLbl val="0"/>
      </c:catAx>
      <c:valAx>
        <c:axId val="1179307920"/>
        <c:scaling>
          <c:orientation val="minMax"/>
        </c:scaling>
        <c:delete val="0"/>
        <c:axPos val="b"/>
        <c:majorGridlines>
          <c:spPr>
            <a:ln w="9525" cap="flat" cmpd="sng" algn="ctr">
              <a:solidFill>
                <a:schemeClr val="bg1"/>
              </a:soli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117930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solidFill>
            <a:srgbClr val="C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Sales!PivotTable1</c:name>
    <c:fmtId val="14"/>
  </c:pivotSource>
  <c:chart>
    <c:title>
      <c:tx>
        <c:rich>
          <a:bodyPr rot="0" spcFirstLastPara="1" vertOverflow="ellipsis" vert="horz" wrap="square" anchor="ctr" anchorCtr="1"/>
          <a:lstStyle/>
          <a:p>
            <a:pPr>
              <a:defRPr sz="1400" b="0" i="0" u="none" strike="noStrike" kern="1200" spc="0" baseline="0">
                <a:solidFill>
                  <a:srgbClr val="4614C4"/>
                </a:solidFill>
                <a:latin typeface="+mn-lt"/>
                <a:ea typeface="+mn-ea"/>
                <a:cs typeface="+mn-cs"/>
              </a:defRPr>
            </a:pPr>
            <a:r>
              <a:rPr lang="en-US"/>
              <a:t>Total</a:t>
            </a:r>
            <a:r>
              <a:rPr lang="en-US" baseline="0"/>
              <a:t> Sales Over Time</a:t>
            </a:r>
            <a:endParaRPr lang="en-US"/>
          </a:p>
        </c:rich>
      </c:tx>
      <c:layout>
        <c:manualLayout>
          <c:xMode val="edge"/>
          <c:yMode val="edge"/>
          <c:x val="0.33985088985088985"/>
          <c:y val="2.08722555401051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4614C4"/>
              </a:solidFill>
              <a:latin typeface="+mn-lt"/>
              <a:ea typeface="+mn-ea"/>
              <a:cs typeface="+mn-cs"/>
            </a:defRPr>
          </a:pPr>
          <a:endParaRPr lang="en-US"/>
        </a:p>
      </c:txPr>
    </c:title>
    <c:autoTitleDeleted val="0"/>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614C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614C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614C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614C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0000"/>
            </a:solidFill>
            <a:round/>
          </a:ln>
          <a:effectLst/>
        </c:spPr>
        <c:marker>
          <c:symbol val="none"/>
        </c:marker>
      </c:pivotFmt>
      <c:pivotFmt>
        <c:idx val="5"/>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614C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614C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pivotFmt>
      <c:pivotFmt>
        <c:idx val="8"/>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614C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614C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614C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614C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round/>
          </a:ln>
          <a:effectLst/>
        </c:spPr>
        <c:marker>
          <c:symbol val="none"/>
        </c:marker>
      </c:pivotFmt>
      <c:pivotFmt>
        <c:idx val="13"/>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614C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614C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715107346976813E-2"/>
          <c:y val="0.11838038121724492"/>
          <c:w val="0.72653143442980284"/>
          <c:h val="0.72788306799241331"/>
        </c:manualLayout>
      </c:layout>
      <c:lineChart>
        <c:grouping val="standard"/>
        <c:varyColors val="0"/>
        <c:ser>
          <c:idx val="0"/>
          <c:order val="0"/>
          <c:tx>
            <c:strRef>
              <c:f>'Total Sales'!$C$3:$C$4</c:f>
              <c:strCache>
                <c:ptCount val="1"/>
                <c:pt idx="0">
                  <c:v>Arabica</c:v>
                </c:pt>
              </c:strCache>
            </c:strRef>
          </c:tx>
          <c:spPr>
            <a:ln w="28575" cap="rnd">
              <a:solidFill>
                <a:srgbClr val="7030A0"/>
              </a:solidFill>
              <a:round/>
            </a:ln>
            <a:effectLst/>
          </c:spPr>
          <c:marker>
            <c:symbol val="none"/>
          </c:marker>
          <c:cat>
            <c:multiLvlStrRef>
              <c:f>'Total Sales'!$A$5:$B$22</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2019</c:v>
                  </c:pt>
                  <c:pt idx="12">
                    <c:v>2020</c:v>
                  </c:pt>
                </c:lvl>
              </c:multiLvlStrCache>
            </c:multiLvlStrRef>
          </c:cat>
          <c:val>
            <c:numRef>
              <c:f>'Total Sales'!$C$5:$C$22</c:f>
              <c:numCache>
                <c:formatCode>#,##0_);\(#,##0\)</c:formatCode>
                <c:ptCount val="18"/>
                <c:pt idx="0">
                  <c:v>186.85499999999999</c:v>
                </c:pt>
                <c:pt idx="1">
                  <c:v>251.965</c:v>
                </c:pt>
                <c:pt idx="2">
                  <c:v>224.94499999999999</c:v>
                </c:pt>
                <c:pt idx="3">
                  <c:v>307.12</c:v>
                </c:pt>
                <c:pt idx="4">
                  <c:v>53.664999999999992</c:v>
                </c:pt>
                <c:pt idx="5">
                  <c:v>163.01999999999998</c:v>
                </c:pt>
                <c:pt idx="6">
                  <c:v>345.02</c:v>
                </c:pt>
                <c:pt idx="7">
                  <c:v>334.89</c:v>
                </c:pt>
                <c:pt idx="8">
                  <c:v>178.70999999999998</c:v>
                </c:pt>
                <c:pt idx="9">
                  <c:v>301.98499999999996</c:v>
                </c:pt>
                <c:pt idx="10">
                  <c:v>312.83499999999998</c:v>
                </c:pt>
                <c:pt idx="11">
                  <c:v>265.62</c:v>
                </c:pt>
                <c:pt idx="12">
                  <c:v>47.25</c:v>
                </c:pt>
                <c:pt idx="13">
                  <c:v>745.44999999999993</c:v>
                </c:pt>
                <c:pt idx="14">
                  <c:v>130.47</c:v>
                </c:pt>
                <c:pt idx="15">
                  <c:v>27</c:v>
                </c:pt>
                <c:pt idx="16">
                  <c:v>255.11499999999995</c:v>
                </c:pt>
                <c:pt idx="17">
                  <c:v>584.79</c:v>
                </c:pt>
              </c:numCache>
            </c:numRef>
          </c:val>
          <c:smooth val="0"/>
          <c:extLst>
            <c:ext xmlns:c16="http://schemas.microsoft.com/office/drawing/2014/chart" uri="{C3380CC4-5D6E-409C-BE32-E72D297353CC}">
              <c16:uniqueId val="{00000000-C265-4B00-A347-13E3B62930B1}"/>
            </c:ext>
          </c:extLst>
        </c:ser>
        <c:ser>
          <c:idx val="1"/>
          <c:order val="1"/>
          <c:tx>
            <c:strRef>
              <c:f>'Total Sales'!$D$3:$D$4</c:f>
              <c:strCache>
                <c:ptCount val="1"/>
                <c:pt idx="0">
                  <c:v>Excelsa</c:v>
                </c:pt>
              </c:strCache>
            </c:strRef>
          </c:tx>
          <c:spPr>
            <a:ln w="28575" cap="rnd">
              <a:solidFill>
                <a:schemeClr val="accent2"/>
              </a:solidFill>
              <a:round/>
            </a:ln>
            <a:effectLst/>
          </c:spPr>
          <c:marker>
            <c:symbol val="none"/>
          </c:marker>
          <c:dPt>
            <c:idx val="34"/>
            <c:marker>
              <c:symbol val="none"/>
            </c:marker>
            <c:bubble3D val="0"/>
            <c:extLst>
              <c:ext xmlns:c16="http://schemas.microsoft.com/office/drawing/2014/chart" uri="{C3380CC4-5D6E-409C-BE32-E72D297353CC}">
                <c16:uniqueId val="{00000002-C265-4B00-A347-13E3B62930B1}"/>
              </c:ext>
            </c:extLst>
          </c:dPt>
          <c:cat>
            <c:multiLvlStrRef>
              <c:f>'Total Sales'!$A$5:$B$22</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2019</c:v>
                  </c:pt>
                  <c:pt idx="12">
                    <c:v>2020</c:v>
                  </c:pt>
                </c:lvl>
              </c:multiLvlStrCache>
            </c:multiLvlStrRef>
          </c:cat>
          <c:val>
            <c:numRef>
              <c:f>'Total Sales'!$D$5:$D$22</c:f>
              <c:numCache>
                <c:formatCode>#,##0_);\(#,##0\)</c:formatCode>
                <c:ptCount val="18"/>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357.42999999999989</c:v>
                </c:pt>
              </c:numCache>
            </c:numRef>
          </c:val>
          <c:smooth val="0"/>
          <c:extLst>
            <c:ext xmlns:c16="http://schemas.microsoft.com/office/drawing/2014/chart" uri="{C3380CC4-5D6E-409C-BE32-E72D297353CC}">
              <c16:uniqueId val="{00000003-C265-4B00-A347-13E3B62930B1}"/>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Sales'!$A$5:$B$22</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2019</c:v>
                  </c:pt>
                  <c:pt idx="12">
                    <c:v>2020</c:v>
                  </c:pt>
                </c:lvl>
              </c:multiLvlStrCache>
            </c:multiLvlStrRef>
          </c:cat>
          <c:val>
            <c:numRef>
              <c:f>'Total Sales'!$E$5:$E$22</c:f>
              <c:numCache>
                <c:formatCode>#,##0_);\(#,##0\)</c:formatCode>
                <c:ptCount val="18"/>
                <c:pt idx="0">
                  <c:v>213.16</c:v>
                </c:pt>
                <c:pt idx="1">
                  <c:v>434.03999999999991</c:v>
                </c:pt>
                <c:pt idx="2">
                  <c:v>321.03999999999996</c:v>
                </c:pt>
                <c:pt idx="3">
                  <c:v>533.70499999999993</c:v>
                </c:pt>
                <c:pt idx="4">
                  <c:v>193.83499999999998</c:v>
                </c:pt>
                <c:pt idx="5">
                  <c:v>171.04499999999999</c:v>
                </c:pt>
                <c:pt idx="6">
                  <c:v>184.13</c:v>
                </c:pt>
                <c:pt idx="7">
                  <c:v>134.23000000000002</c:v>
                </c:pt>
                <c:pt idx="8">
                  <c:v>439.30999999999995</c:v>
                </c:pt>
                <c:pt idx="9">
                  <c:v>215.55499999999998</c:v>
                </c:pt>
                <c:pt idx="10">
                  <c:v>350.89499999999998</c:v>
                </c:pt>
                <c:pt idx="11">
                  <c:v>187.05999999999997</c:v>
                </c:pt>
                <c:pt idx="12">
                  <c:v>274.67500000000001</c:v>
                </c:pt>
                <c:pt idx="13">
                  <c:v>194.17500000000001</c:v>
                </c:pt>
                <c:pt idx="14">
                  <c:v>281.20499999999998</c:v>
                </c:pt>
                <c:pt idx="15">
                  <c:v>147.51000000000002</c:v>
                </c:pt>
                <c:pt idx="16">
                  <c:v>83.429999999999993</c:v>
                </c:pt>
                <c:pt idx="17">
                  <c:v>355.34</c:v>
                </c:pt>
              </c:numCache>
            </c:numRef>
          </c:val>
          <c:smooth val="0"/>
          <c:extLst>
            <c:ext xmlns:c16="http://schemas.microsoft.com/office/drawing/2014/chart" uri="{C3380CC4-5D6E-409C-BE32-E72D297353CC}">
              <c16:uniqueId val="{00000004-C265-4B00-A347-13E3B62930B1}"/>
            </c:ext>
          </c:extLst>
        </c:ser>
        <c:ser>
          <c:idx val="3"/>
          <c:order val="3"/>
          <c:tx>
            <c:strRef>
              <c:f>'Total Sales'!$F$3:$F$4</c:f>
              <c:strCache>
                <c:ptCount val="1"/>
                <c:pt idx="0">
                  <c:v>Robusta</c:v>
                </c:pt>
              </c:strCache>
            </c:strRef>
          </c:tx>
          <c:spPr>
            <a:ln w="28575" cap="rnd">
              <a:solidFill>
                <a:schemeClr val="accent2">
                  <a:lumMod val="50000"/>
                </a:schemeClr>
              </a:solidFill>
              <a:round/>
            </a:ln>
            <a:effectLst/>
          </c:spPr>
          <c:marker>
            <c:symbol val="none"/>
          </c:marker>
          <c:cat>
            <c:multiLvlStrRef>
              <c:f>'Total Sales'!$A$5:$B$22</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2019</c:v>
                  </c:pt>
                  <c:pt idx="12">
                    <c:v>2020</c:v>
                  </c:pt>
                </c:lvl>
              </c:multiLvlStrCache>
            </c:multiLvlStrRef>
          </c:cat>
          <c:val>
            <c:numRef>
              <c:f>'Total Sales'!$F$5:$F$22</c:f>
              <c:numCache>
                <c:formatCode>#,##0_);\(#,##0\)</c:formatCode>
                <c:ptCount val="18"/>
                <c:pt idx="0">
                  <c:v>123</c:v>
                </c:pt>
                <c:pt idx="1">
                  <c:v>171.93999999999997</c:v>
                </c:pt>
                <c:pt idx="2">
                  <c:v>126.035</c:v>
                </c:pt>
                <c:pt idx="3">
                  <c:v>158.85</c:v>
                </c:pt>
                <c:pt idx="4">
                  <c:v>68.039999999999992</c:v>
                </c:pt>
                <c:pt idx="5">
                  <c:v>372.255</c:v>
                </c:pt>
                <c:pt idx="6">
                  <c:v>201.11499999999998</c:v>
                </c:pt>
                <c:pt idx="7">
                  <c:v>166.27499999999998</c:v>
                </c:pt>
                <c:pt idx="8">
                  <c:v>492.89999999999992</c:v>
                </c:pt>
                <c:pt idx="9">
                  <c:v>213.66499999999999</c:v>
                </c:pt>
                <c:pt idx="10">
                  <c:v>96.404999999999987</c:v>
                </c:pt>
                <c:pt idx="11">
                  <c:v>210.58999999999997</c:v>
                </c:pt>
                <c:pt idx="12">
                  <c:v>179.21999999999997</c:v>
                </c:pt>
                <c:pt idx="13">
                  <c:v>429.83</c:v>
                </c:pt>
                <c:pt idx="14">
                  <c:v>231.63</c:v>
                </c:pt>
                <c:pt idx="15">
                  <c:v>240.04</c:v>
                </c:pt>
                <c:pt idx="16">
                  <c:v>59.079999999999991</c:v>
                </c:pt>
                <c:pt idx="17">
                  <c:v>140.87999999999997</c:v>
                </c:pt>
              </c:numCache>
            </c:numRef>
          </c:val>
          <c:smooth val="0"/>
          <c:extLst>
            <c:ext xmlns:c16="http://schemas.microsoft.com/office/drawing/2014/chart" uri="{C3380CC4-5D6E-409C-BE32-E72D297353CC}">
              <c16:uniqueId val="{00000007-C265-4B00-A347-13E3B62930B1}"/>
            </c:ext>
          </c:extLst>
        </c:ser>
        <c:dLbls>
          <c:showLegendKey val="0"/>
          <c:showVal val="0"/>
          <c:showCatName val="0"/>
          <c:showSerName val="0"/>
          <c:showPercent val="0"/>
          <c:showBubbleSize val="0"/>
        </c:dLbls>
        <c:smooth val="0"/>
        <c:axId val="776202496"/>
        <c:axId val="776201056"/>
      </c:lineChart>
      <c:catAx>
        <c:axId val="77620249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614C4"/>
                </a:solidFill>
                <a:latin typeface="+mn-lt"/>
                <a:ea typeface="+mn-ea"/>
                <a:cs typeface="+mn-cs"/>
              </a:defRPr>
            </a:pPr>
            <a:endParaRPr lang="en-US"/>
          </a:p>
        </c:txPr>
        <c:crossAx val="776201056"/>
        <c:crosses val="autoZero"/>
        <c:auto val="1"/>
        <c:lblAlgn val="ctr"/>
        <c:lblOffset val="100"/>
        <c:noMultiLvlLbl val="0"/>
      </c:catAx>
      <c:valAx>
        <c:axId val="776201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4614C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4614C4"/>
                  </a:solidFill>
                  <a:latin typeface="+mn-lt"/>
                  <a:ea typeface="+mn-ea"/>
                  <a:cs typeface="+mn-cs"/>
                </a:defRPr>
              </a:pPr>
              <a:endParaRPr lang="en-US"/>
            </a:p>
          </c:txPr>
        </c:title>
        <c:numFmt formatCode="#,##0_);\(#,##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614C4"/>
                </a:solidFill>
                <a:latin typeface="+mn-lt"/>
                <a:ea typeface="+mn-ea"/>
                <a:cs typeface="+mn-cs"/>
              </a:defRPr>
            </a:pPr>
            <a:endParaRPr lang="en-US"/>
          </a:p>
        </c:txPr>
        <c:crossAx val="776202496"/>
        <c:crosses val="autoZero"/>
        <c:crossBetween val="between"/>
      </c:valAx>
      <c:spPr>
        <a:solidFill>
          <a:schemeClr val="accent2">
            <a:lumMod val="60000"/>
            <a:lumOff val="40000"/>
          </a:schemeClr>
        </a:solidFill>
        <a:ln>
          <a:noFill/>
        </a:ln>
        <a:effectLst/>
      </c:spPr>
    </c:plotArea>
    <c:legend>
      <c:legendPos val="r"/>
      <c:layout>
        <c:manualLayout>
          <c:xMode val="edge"/>
          <c:yMode val="edge"/>
          <c:x val="0.83044733044733043"/>
          <c:y val="0.39898880462260744"/>
          <c:w val="8.083767978773386E-2"/>
          <c:h val="0.19320352070807217"/>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defRPr sz="900" b="0" i="0" u="none" strike="noStrike" kern="1200" baseline="0">
              <a:solidFill>
                <a:srgbClr val="4614C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solidFill>
            <a:srgbClr val="4614C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[coffeeOrdersData.xlsx]CountryBarChart!PivotTable1</c:name>
    <c:fmtId val="17"/>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bg1"/>
            </a:solidFill>
          </a:ln>
          <a:effectLst/>
        </c:spPr>
      </c:pivotFmt>
      <c:pivotFmt>
        <c:idx val="2"/>
        <c:spPr>
          <a:solidFill>
            <a:schemeClr val="accent6"/>
          </a:solidFill>
          <a:ln w="25400">
            <a:solidFill>
              <a:schemeClr val="bg1"/>
            </a:solidFill>
          </a:ln>
          <a:effectLst/>
        </c:spPr>
      </c:pivotFmt>
      <c:pivotFmt>
        <c:idx val="3"/>
        <c:spPr>
          <a:solidFill>
            <a:schemeClr val="accent6">
              <a:lumMod val="60000"/>
              <a:lumOff val="40000"/>
            </a:schemeClr>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25400">
            <a:solidFill>
              <a:schemeClr val="bg1"/>
            </a:solidFill>
          </a:ln>
          <a:effectLst/>
        </c:spPr>
      </c:pivotFmt>
      <c:pivotFmt>
        <c:idx val="7"/>
        <c:spPr>
          <a:solidFill>
            <a:schemeClr val="accent6">
              <a:lumMod val="50000"/>
            </a:schemeClr>
          </a:solidFill>
          <a:ln w="25400">
            <a:solidFill>
              <a:schemeClr val="bg1"/>
            </a:solidFill>
          </a:ln>
          <a:effectLst/>
        </c:spPr>
      </c:pivotFmt>
      <c:pivotFmt>
        <c:idx val="8"/>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5400">
            <a:solidFill>
              <a:schemeClr val="bg1"/>
            </a:solidFill>
          </a:ln>
          <a:effectLst/>
        </c:spPr>
      </c:pivotFmt>
      <c:pivotFmt>
        <c:idx val="11"/>
        <c:spPr>
          <a:solidFill>
            <a:schemeClr val="accent6">
              <a:lumMod val="50000"/>
            </a:schemeClr>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6">
                <a:lumMod val="75000"/>
              </a:schemeClr>
            </a:solidFill>
            <a:ln w="25400">
              <a:solidFill>
                <a:schemeClr val="bg1"/>
              </a:solidFill>
            </a:ln>
            <a:effectLst/>
          </c:spPr>
          <c:invertIfNegative val="0"/>
          <c:dPt>
            <c:idx val="0"/>
            <c:invertIfNegative val="0"/>
            <c:bubble3D val="0"/>
            <c:spPr>
              <a:solidFill>
                <a:schemeClr val="accent6">
                  <a:lumMod val="60000"/>
                  <a:lumOff val="40000"/>
                </a:schemeClr>
              </a:solidFill>
              <a:ln w="25400">
                <a:solidFill>
                  <a:schemeClr val="bg1"/>
                </a:solidFill>
              </a:ln>
              <a:effectLst/>
            </c:spPr>
            <c:extLst>
              <c:ext xmlns:c16="http://schemas.microsoft.com/office/drawing/2014/chart" uri="{C3380CC4-5D6E-409C-BE32-E72D297353CC}">
                <c16:uniqueId val="{00000001-6729-477A-A6BE-CF67192CD804}"/>
              </c:ext>
            </c:extLst>
          </c:dPt>
          <c:dPt>
            <c:idx val="1"/>
            <c:invertIfNegative val="0"/>
            <c:bubble3D val="0"/>
            <c:spPr>
              <a:solidFill>
                <a:schemeClr val="accent6"/>
              </a:solidFill>
              <a:ln w="25400">
                <a:solidFill>
                  <a:schemeClr val="bg1"/>
                </a:solidFill>
              </a:ln>
              <a:effectLst/>
            </c:spPr>
            <c:extLst>
              <c:ext xmlns:c16="http://schemas.microsoft.com/office/drawing/2014/chart" uri="{C3380CC4-5D6E-409C-BE32-E72D297353CC}">
                <c16:uniqueId val="{00000003-6729-477A-A6BE-CF67192CD804}"/>
              </c:ext>
            </c:extLst>
          </c:dPt>
          <c:dPt>
            <c:idx val="2"/>
            <c:invertIfNegative val="0"/>
            <c:bubble3D val="0"/>
            <c:spPr>
              <a:solidFill>
                <a:schemeClr val="accent6">
                  <a:lumMod val="50000"/>
                </a:schemeClr>
              </a:solidFill>
              <a:ln w="25400">
                <a:solidFill>
                  <a:schemeClr val="bg1"/>
                </a:solidFill>
              </a:ln>
              <a:effectLst/>
            </c:spPr>
            <c:extLst>
              <c:ext xmlns:c16="http://schemas.microsoft.com/office/drawing/2014/chart" uri="{C3380CC4-5D6E-409C-BE32-E72D297353CC}">
                <c16:uniqueId val="{00000005-6729-477A-A6BE-CF67192CD804}"/>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29-477A-A6BE-CF67192CD804}"/>
                </c:ext>
              </c:extLst>
            </c:dLbl>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"$"#,##0_);\("$"#,##0\)</c:formatCode>
                <c:ptCount val="3"/>
                <c:pt idx="0">
                  <c:v>1644.68</c:v>
                </c:pt>
                <c:pt idx="1">
                  <c:v>2528.3750000000005</c:v>
                </c:pt>
                <c:pt idx="2">
                  <c:v>14433.794999999993</c:v>
                </c:pt>
              </c:numCache>
            </c:numRef>
          </c:val>
          <c:extLst>
            <c:ext xmlns:c16="http://schemas.microsoft.com/office/drawing/2014/chart" uri="{C3380CC4-5D6E-409C-BE32-E72D297353CC}">
              <c16:uniqueId val="{00000006-6729-477A-A6BE-CF67192CD804}"/>
            </c:ext>
          </c:extLst>
        </c:ser>
        <c:dLbls>
          <c:showLegendKey val="0"/>
          <c:showVal val="0"/>
          <c:showCatName val="0"/>
          <c:showSerName val="0"/>
          <c:showPercent val="0"/>
          <c:showBubbleSize val="0"/>
        </c:dLbls>
        <c:gapWidth val="219"/>
        <c:axId val="1179307440"/>
        <c:axId val="1179307920"/>
      </c:barChart>
      <c:catAx>
        <c:axId val="11793074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1179307920"/>
        <c:crosses val="autoZero"/>
        <c:auto val="1"/>
        <c:lblAlgn val="ctr"/>
        <c:lblOffset val="100"/>
        <c:noMultiLvlLbl val="0"/>
      </c:catAx>
      <c:valAx>
        <c:axId val="1179307920"/>
        <c:scaling>
          <c:orientation val="minMax"/>
        </c:scaling>
        <c:delete val="0"/>
        <c:axPos val="b"/>
        <c:majorGridlines>
          <c:spPr>
            <a:ln w="9525" cap="flat" cmpd="sng" algn="ctr">
              <a:solidFill>
                <a:schemeClr val="bg1"/>
              </a:soli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117930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solidFill>
            <a:srgbClr val="C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Customers!PivotTable1</c:name>
    <c:fmtId val="18"/>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a:t>Top</a:t>
            </a:r>
            <a:r>
              <a:rPr lang="en-US" baseline="0"/>
              <a:t> 5 Customers</a:t>
            </a:r>
            <a:endParaRPr lang="en-US"/>
          </a:p>
        </c:rich>
      </c:tx>
      <c:layout>
        <c:manualLayout>
          <c:xMode val="edge"/>
          <c:yMode val="edge"/>
          <c:x val="0.36873960361235614"/>
          <c:y val="3.97201325714157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bg1"/>
            </a:solidFill>
          </a:ln>
          <a:effectLst/>
        </c:spPr>
      </c:pivotFmt>
      <c:pivotFmt>
        <c:idx val="2"/>
        <c:spPr>
          <a:solidFill>
            <a:schemeClr val="accent6"/>
          </a:solidFill>
          <a:ln w="25400">
            <a:solidFill>
              <a:schemeClr val="bg1"/>
            </a:solidFill>
          </a:ln>
          <a:effectLst/>
        </c:spPr>
      </c:pivotFmt>
      <c:pivotFmt>
        <c:idx val="3"/>
        <c:spPr>
          <a:solidFill>
            <a:schemeClr val="accent6">
              <a:lumMod val="60000"/>
              <a:lumOff val="40000"/>
            </a:schemeClr>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25400">
            <a:solidFill>
              <a:schemeClr val="bg1"/>
            </a:solidFill>
          </a:ln>
          <a:effectLst/>
        </c:spPr>
      </c:pivotFmt>
      <c:pivotFmt>
        <c:idx val="7"/>
        <c:spPr>
          <a:solidFill>
            <a:schemeClr val="accent6">
              <a:lumMod val="50000"/>
            </a:schemeClr>
          </a:solidFill>
          <a:ln w="25400">
            <a:solidFill>
              <a:schemeClr val="bg1"/>
            </a:solidFill>
          </a:ln>
          <a:effectLst/>
        </c:spPr>
      </c:pivotFmt>
      <c:pivotFmt>
        <c:idx val="8"/>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6">
                <a:lumMod val="75000"/>
              </a:schemeClr>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123E-4D01-993B-EDB02692DCF8}"/>
              </c:ext>
            </c:extLst>
          </c:dPt>
          <c:dPt>
            <c:idx val="1"/>
            <c:invertIfNegative val="0"/>
            <c:bubble3D val="0"/>
            <c:extLst>
              <c:ext xmlns:c16="http://schemas.microsoft.com/office/drawing/2014/chart" uri="{C3380CC4-5D6E-409C-BE32-E72D297353CC}">
                <c16:uniqueId val="{00000001-123E-4D01-993B-EDB02692DCF8}"/>
              </c:ext>
            </c:extLst>
          </c:dPt>
          <c:dPt>
            <c:idx val="2"/>
            <c:invertIfNegative val="0"/>
            <c:bubble3D val="0"/>
            <c:extLst>
              <c:ext xmlns:c16="http://schemas.microsoft.com/office/drawing/2014/chart" uri="{C3380CC4-5D6E-409C-BE32-E72D297353CC}">
                <c16:uniqueId val="{00000002-123E-4D01-993B-EDB02692DCF8}"/>
              </c:ext>
            </c:extLst>
          </c:dPt>
          <c:dLbls>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Customers'!$A$4:$A$11</c:f>
              <c:strCache>
                <c:ptCount val="8"/>
                <c:pt idx="0">
                  <c:v>Elysee Sketch</c:v>
                </c:pt>
                <c:pt idx="1">
                  <c:v>Shelli Keynd</c:v>
                </c:pt>
                <c:pt idx="2">
                  <c:v>Lacee Tanti</c:v>
                </c:pt>
                <c:pt idx="3">
                  <c:v>Daniel Heinonen</c:v>
                </c:pt>
                <c:pt idx="4">
                  <c:v>Nanny Lush</c:v>
                </c:pt>
                <c:pt idx="5">
                  <c:v>Don Flintiff</c:v>
                </c:pt>
                <c:pt idx="6">
                  <c:v>Allis Wilmore</c:v>
                </c:pt>
                <c:pt idx="7">
                  <c:v>Brenn Dundredge</c:v>
                </c:pt>
              </c:strCache>
            </c:strRef>
          </c:cat>
          <c:val>
            <c:numRef>
              <c:f>'Top 5 Customers'!$B$4:$B$11</c:f>
              <c:numCache>
                <c:formatCode>"$"#,##0_);\("$"#,##0\)</c:formatCode>
                <c:ptCount val="8"/>
                <c:pt idx="0">
                  <c:v>204.92999999999995</c:v>
                </c:pt>
                <c:pt idx="1">
                  <c:v>204.92999999999995</c:v>
                </c:pt>
                <c:pt idx="2">
                  <c:v>204.92999999999995</c:v>
                </c:pt>
                <c:pt idx="3">
                  <c:v>204.92999999999995</c:v>
                </c:pt>
                <c:pt idx="4">
                  <c:v>204.92999999999995</c:v>
                </c:pt>
                <c:pt idx="5">
                  <c:v>219.81</c:v>
                </c:pt>
                <c:pt idx="6">
                  <c:v>237.81999999999996</c:v>
                </c:pt>
                <c:pt idx="7">
                  <c:v>248.36499999999995</c:v>
                </c:pt>
              </c:numCache>
            </c:numRef>
          </c:val>
          <c:extLst>
            <c:ext xmlns:c16="http://schemas.microsoft.com/office/drawing/2014/chart" uri="{C3380CC4-5D6E-409C-BE32-E72D297353CC}">
              <c16:uniqueId val="{00000003-123E-4D01-993B-EDB02692DCF8}"/>
            </c:ext>
          </c:extLst>
        </c:ser>
        <c:dLbls>
          <c:showLegendKey val="0"/>
          <c:showVal val="0"/>
          <c:showCatName val="0"/>
          <c:showSerName val="0"/>
          <c:showPercent val="0"/>
          <c:showBubbleSize val="0"/>
        </c:dLbls>
        <c:gapWidth val="219"/>
        <c:axId val="1179307440"/>
        <c:axId val="1179307920"/>
      </c:barChart>
      <c:catAx>
        <c:axId val="11793074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1179307920"/>
        <c:crosses val="autoZero"/>
        <c:auto val="1"/>
        <c:lblAlgn val="ctr"/>
        <c:lblOffset val="100"/>
        <c:noMultiLvlLbl val="0"/>
      </c:catAx>
      <c:valAx>
        <c:axId val="1179307920"/>
        <c:scaling>
          <c:orientation val="minMax"/>
        </c:scaling>
        <c:delete val="0"/>
        <c:axPos val="b"/>
        <c:majorGridlines>
          <c:spPr>
            <a:ln w="9525" cap="flat" cmpd="sng" algn="ctr">
              <a:solidFill>
                <a:schemeClr val="bg1"/>
              </a:soli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117930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solidFill>
            <a:srgbClr val="C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198120</xdr:colOff>
      <xdr:row>2</xdr:row>
      <xdr:rowOff>26670</xdr:rowOff>
    </xdr:from>
    <xdr:to>
      <xdr:col>11</xdr:col>
      <xdr:colOff>487680</xdr:colOff>
      <xdr:row>19</xdr:row>
      <xdr:rowOff>68580</xdr:rowOff>
    </xdr:to>
    <xdr:graphicFrame macro="">
      <xdr:nvGraphicFramePr>
        <xdr:cNvPr id="7" name="Chart 6">
          <a:extLst>
            <a:ext uri="{FF2B5EF4-FFF2-40B4-BE49-F238E27FC236}">
              <a16:creationId xmlns:a16="http://schemas.microsoft.com/office/drawing/2014/main" id="{0658AC73-8E1D-ACB6-6A27-FC23730FE8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289560</xdr:colOff>
      <xdr:row>9</xdr:row>
      <xdr:rowOff>22860</xdr:rowOff>
    </xdr:from>
    <xdr:to>
      <xdr:col>17</xdr:col>
      <xdr:colOff>243840</xdr:colOff>
      <xdr:row>31</xdr:row>
      <xdr:rowOff>144780</xdr:rowOff>
    </xdr:to>
    <xdr:graphicFrame macro="">
      <xdr:nvGraphicFramePr>
        <xdr:cNvPr id="2" name="Chart 1">
          <a:extLst>
            <a:ext uri="{FF2B5EF4-FFF2-40B4-BE49-F238E27FC236}">
              <a16:creationId xmlns:a16="http://schemas.microsoft.com/office/drawing/2014/main" id="{AB7C1F24-64E7-B585-F94D-008AC4EE19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198120</xdr:colOff>
      <xdr:row>1</xdr:row>
      <xdr:rowOff>83820</xdr:rowOff>
    </xdr:from>
    <xdr:to>
      <xdr:col>19</xdr:col>
      <xdr:colOff>198120</xdr:colOff>
      <xdr:row>8</xdr:row>
      <xdr:rowOff>76200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D0D4D93E-F257-9CF3-D14E-A5759C6E0E8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212080" y="266700"/>
              <a:ext cx="7924800" cy="12725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335280</xdr:colOff>
      <xdr:row>0</xdr:row>
      <xdr:rowOff>99061</xdr:rowOff>
    </xdr:from>
    <xdr:to>
      <xdr:col>21</xdr:col>
      <xdr:colOff>91440</xdr:colOff>
      <xdr:row>6</xdr:row>
      <xdr:rowOff>7620</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8FAD3FAF-43CF-8785-AEE8-EE2E051FFB8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664440" y="99061"/>
              <a:ext cx="1584960" cy="1005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38100</xdr:colOff>
      <xdr:row>0</xdr:row>
      <xdr:rowOff>22861</xdr:rowOff>
    </xdr:from>
    <xdr:to>
      <xdr:col>18</xdr:col>
      <xdr:colOff>289560</xdr:colOff>
      <xdr:row>4</xdr:row>
      <xdr:rowOff>129540</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82C587CF-DFE7-174E-4ED7-D9FDA58D9D32}"/>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8709660" y="22861"/>
              <a:ext cx="3909060" cy="838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129540</xdr:colOff>
      <xdr:row>7</xdr:row>
      <xdr:rowOff>175261</xdr:rowOff>
    </xdr:from>
    <xdr:to>
      <xdr:col>20</xdr:col>
      <xdr:colOff>510540</xdr:colOff>
      <xdr:row>14</xdr:row>
      <xdr:rowOff>38101</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379CF2E1-4285-8E6C-5B35-691DF6EABBF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458700" y="1455421"/>
              <a:ext cx="16002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190500</xdr:colOff>
      <xdr:row>22</xdr:row>
      <xdr:rowOff>76201</xdr:rowOff>
    </xdr:from>
    <xdr:to>
      <xdr:col>21</xdr:col>
      <xdr:colOff>556260</xdr:colOff>
      <xdr:row>27</xdr:row>
      <xdr:rowOff>167640</xdr:rowOff>
    </xdr:to>
    <mc:AlternateContent xmlns:mc="http://schemas.openxmlformats.org/markup-compatibility/2006">
      <mc:Choice xmlns:a14="http://schemas.microsoft.com/office/drawing/2010/main" Requires="a14">
        <xdr:graphicFrame macro="">
          <xdr:nvGraphicFramePr>
            <xdr:cNvPr id="7" name="Size 2">
              <a:extLst>
                <a:ext uri="{FF2B5EF4-FFF2-40B4-BE49-F238E27FC236}">
                  <a16:creationId xmlns:a16="http://schemas.microsoft.com/office/drawing/2014/main" id="{3748BB45-DCC4-4E54-8EEE-84DE65301EF2}"/>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dr:sp macro="" textlink="">
          <xdr:nvSpPr>
            <xdr:cNvPr id="0" name=""/>
            <xdr:cNvSpPr>
              <a:spLocks noTextEdit="1"/>
            </xdr:cNvSpPr>
          </xdr:nvSpPr>
          <xdr:spPr>
            <a:xfrm>
              <a:off x="13129260" y="4099561"/>
              <a:ext cx="1584960" cy="1005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198120</xdr:colOff>
      <xdr:row>2</xdr:row>
      <xdr:rowOff>26670</xdr:rowOff>
    </xdr:from>
    <xdr:to>
      <xdr:col>11</xdr:col>
      <xdr:colOff>487680</xdr:colOff>
      <xdr:row>19</xdr:row>
      <xdr:rowOff>68580</xdr:rowOff>
    </xdr:to>
    <xdr:graphicFrame macro="">
      <xdr:nvGraphicFramePr>
        <xdr:cNvPr id="2" name="Chart 1">
          <a:extLst>
            <a:ext uri="{FF2B5EF4-FFF2-40B4-BE49-F238E27FC236}">
              <a16:creationId xmlns:a16="http://schemas.microsoft.com/office/drawing/2014/main" id="{3456B54D-DC7A-43A0-A2CF-FD12F0F86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15240</xdr:colOff>
      <xdr:row>1</xdr:row>
      <xdr:rowOff>0</xdr:rowOff>
    </xdr:from>
    <xdr:to>
      <xdr:col>25</xdr:col>
      <xdr:colOff>15240</xdr:colOff>
      <xdr:row>5</xdr:row>
      <xdr:rowOff>0</xdr:rowOff>
    </xdr:to>
    <xdr:sp macro="" textlink="">
      <xdr:nvSpPr>
        <xdr:cNvPr id="3" name="Rectangle 2">
          <a:extLst>
            <a:ext uri="{FF2B5EF4-FFF2-40B4-BE49-F238E27FC236}">
              <a16:creationId xmlns:a16="http://schemas.microsoft.com/office/drawing/2014/main" id="{A78068F3-F072-3237-3ECF-C7DD9C6CE639}"/>
            </a:ext>
          </a:extLst>
        </xdr:cNvPr>
        <xdr:cNvSpPr/>
      </xdr:nvSpPr>
      <xdr:spPr>
        <a:xfrm>
          <a:off x="137160" y="60960"/>
          <a:ext cx="14630400" cy="73152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bg1"/>
              </a:solidFill>
            </a:rPr>
            <a:t>COFFEE SALES DASHBOARD</a:t>
          </a:r>
        </a:p>
      </xdr:txBody>
    </xdr:sp>
    <xdr:clientData/>
  </xdr:twoCellAnchor>
  <xdr:twoCellAnchor>
    <xdr:from>
      <xdr:col>1</xdr:col>
      <xdr:colOff>0</xdr:colOff>
      <xdr:row>14</xdr:row>
      <xdr:rowOff>156307</xdr:rowOff>
    </xdr:from>
    <xdr:to>
      <xdr:col>16</xdr:col>
      <xdr:colOff>248292</xdr:colOff>
      <xdr:row>39</xdr:row>
      <xdr:rowOff>29307</xdr:rowOff>
    </xdr:to>
    <xdr:graphicFrame macro="">
      <xdr:nvGraphicFramePr>
        <xdr:cNvPr id="4" name="Chart 3">
          <a:extLst>
            <a:ext uri="{FF2B5EF4-FFF2-40B4-BE49-F238E27FC236}">
              <a16:creationId xmlns:a16="http://schemas.microsoft.com/office/drawing/2014/main" id="{744336FB-1D2A-4D4D-85B5-C4CD8B7DA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119864</xdr:colOff>
      <xdr:row>5</xdr:row>
      <xdr:rowOff>8561</xdr:rowOff>
    </xdr:from>
    <xdr:to>
      <xdr:col>18</xdr:col>
      <xdr:colOff>393842</xdr:colOff>
      <xdr:row>15</xdr:row>
      <xdr:rowOff>29307</xdr:rowOff>
    </xdr:to>
    <mc:AlternateContent xmlns:mc="http://schemas.openxmlformats.org/markup-compatibility/2006">
      <mc:Choice xmlns:tsle="http://schemas.microsoft.com/office/drawing/2012/timeslicer" Requires="tsle">
        <xdr:graphicFrame macro="">
          <xdr:nvGraphicFramePr>
            <xdr:cNvPr id="5" name="Order Date 1">
              <a:extLst>
                <a:ext uri="{FF2B5EF4-FFF2-40B4-BE49-F238E27FC236}">
                  <a16:creationId xmlns:a16="http://schemas.microsoft.com/office/drawing/2014/main" id="{0FEE1298-B20E-430E-8E47-45705D9E93C1}"/>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19864" y="802311"/>
              <a:ext cx="10783228" cy="184637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370573</xdr:colOff>
      <xdr:row>4</xdr:row>
      <xdr:rowOff>173652</xdr:rowOff>
    </xdr:from>
    <xdr:to>
      <xdr:col>25</xdr:col>
      <xdr:colOff>14145</xdr:colOff>
      <xdr:row>9</xdr:row>
      <xdr:rowOff>100533</xdr:rowOff>
    </xdr:to>
    <mc:AlternateContent xmlns:mc="http://schemas.openxmlformats.org/markup-compatibility/2006">
      <mc:Choice xmlns:a14="http://schemas.microsoft.com/office/drawing/2010/main" Requires="a14">
        <xdr:graphicFrame macro="">
          <xdr:nvGraphicFramePr>
            <xdr:cNvPr id="6" name="Roast type name 1">
              <a:extLst>
                <a:ext uri="{FF2B5EF4-FFF2-40B4-BE49-F238E27FC236}">
                  <a16:creationId xmlns:a16="http://schemas.microsoft.com/office/drawing/2014/main" id="{CE0F9726-8070-442A-9446-8232BDFC11A0}"/>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0879823" y="784840"/>
              <a:ext cx="3921885" cy="8396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371779</xdr:colOff>
      <xdr:row>9</xdr:row>
      <xdr:rowOff>91971</xdr:rowOff>
    </xdr:from>
    <xdr:to>
      <xdr:col>21</xdr:col>
      <xdr:colOff>410855</xdr:colOff>
      <xdr:row>15</xdr:row>
      <xdr:rowOff>24367</xdr:rowOff>
    </xdr:to>
    <mc:AlternateContent xmlns:mc="http://schemas.openxmlformats.org/markup-compatibility/2006">
      <mc:Choice xmlns:a14="http://schemas.microsoft.com/office/drawing/2010/main" Requires="a14">
        <xdr:graphicFrame macro="">
          <xdr:nvGraphicFramePr>
            <xdr:cNvPr id="7" name="Size 1">
              <a:extLst>
                <a:ext uri="{FF2B5EF4-FFF2-40B4-BE49-F238E27FC236}">
                  <a16:creationId xmlns:a16="http://schemas.microsoft.com/office/drawing/2014/main" id="{133CBED7-2895-4CE2-AFDC-2F883C5FA124}"/>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0881029" y="1615971"/>
              <a:ext cx="1872639" cy="10277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409649</xdr:colOff>
      <xdr:row>9</xdr:row>
      <xdr:rowOff>95328</xdr:rowOff>
    </xdr:from>
    <xdr:to>
      <xdr:col>24</xdr:col>
      <xdr:colOff>599326</xdr:colOff>
      <xdr:row>15</xdr:row>
      <xdr:rowOff>17124</xdr:rowOff>
    </xdr:to>
    <mc:AlternateContent xmlns:mc="http://schemas.openxmlformats.org/markup-compatibility/2006">
      <mc:Choice xmlns:a14="http://schemas.microsoft.com/office/drawing/2010/main" Requires="a14">
        <xdr:graphicFrame macro="">
          <xdr:nvGraphicFramePr>
            <xdr:cNvPr id="8" name="Loyalty Card 1">
              <a:extLst>
                <a:ext uri="{FF2B5EF4-FFF2-40B4-BE49-F238E27FC236}">
                  <a16:creationId xmlns:a16="http://schemas.microsoft.com/office/drawing/2014/main" id="{A840102F-182D-4B33-A85C-6A35949FEDDA}"/>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2752462" y="1619328"/>
              <a:ext cx="2023239" cy="10171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248292</xdr:colOff>
      <xdr:row>15</xdr:row>
      <xdr:rowOff>25685</xdr:rowOff>
    </xdr:from>
    <xdr:to>
      <xdr:col>24</xdr:col>
      <xdr:colOff>594056</xdr:colOff>
      <xdr:row>26</xdr:row>
      <xdr:rowOff>69591</xdr:rowOff>
    </xdr:to>
    <xdr:graphicFrame macro="">
      <xdr:nvGraphicFramePr>
        <xdr:cNvPr id="9" name="Chart 8">
          <a:extLst>
            <a:ext uri="{FF2B5EF4-FFF2-40B4-BE49-F238E27FC236}">
              <a16:creationId xmlns:a16="http://schemas.microsoft.com/office/drawing/2014/main" id="{85B04841-DB7D-4AD9-B726-79B6979E9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248292</xdr:colOff>
      <xdr:row>26</xdr:row>
      <xdr:rowOff>80569</xdr:rowOff>
    </xdr:from>
    <xdr:to>
      <xdr:col>24</xdr:col>
      <xdr:colOff>583080</xdr:colOff>
      <xdr:row>39</xdr:row>
      <xdr:rowOff>12184</xdr:rowOff>
    </xdr:to>
    <xdr:graphicFrame macro="">
      <xdr:nvGraphicFramePr>
        <xdr:cNvPr id="10" name="Chart 9">
          <a:extLst>
            <a:ext uri="{FF2B5EF4-FFF2-40B4-BE49-F238E27FC236}">
              <a16:creationId xmlns:a16="http://schemas.microsoft.com/office/drawing/2014/main" id="{891171CC-A77F-4A79-AD17-C61D97C0A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veria Fatima" refreshedDate="45958.889293402775" createdVersion="8" refreshedVersion="8" minRefreshableVersion="3" recordCount="1000" xr:uid="{2DD69E88-24BE-41B5-BD07-B686382BAD6E}">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790449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6D3826-742F-4B22-8BA2-9848CFE50877}"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5"/>
  </dataFields>
  <chartFormats count="9">
    <chartFormat chart="12" format="1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7" count="1" selected="0">
            <x v="2"/>
          </reference>
        </references>
      </pivotArea>
    </chartFormat>
    <chartFormat chart="14" format="2">
      <pivotArea type="data" outline="0" fieldPosition="0">
        <references count="2">
          <reference field="4294967294" count="1" selected="0">
            <x v="0"/>
          </reference>
          <reference field="7" count="1" selected="0">
            <x v="0"/>
          </reference>
        </references>
      </pivotArea>
    </chartFormat>
    <chartFormat chart="14" format="3">
      <pivotArea type="data" outline="0" fieldPosition="0">
        <references count="2">
          <reference field="4294967294" count="1" selected="0">
            <x v="0"/>
          </reference>
          <reference field="7"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7" count="1" selected="0">
            <x v="1"/>
          </reference>
        </references>
      </pivotArea>
    </chartFormat>
    <chartFormat chart="17" format="10">
      <pivotArea type="data" outline="0" fieldPosition="0">
        <references count="2">
          <reference field="4294967294" count="1" selected="0">
            <x v="0"/>
          </reference>
          <reference field="7" count="1" selected="0">
            <x v="0"/>
          </reference>
        </references>
      </pivotArea>
    </chartFormat>
    <chartFormat chart="1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24" name="Order Date">
      <autoFilter ref="A1">
        <filterColumn colId="0">
          <customFilters and="1">
            <customFilter operator="greaterThanOrEqual" val="43466"/>
            <customFilter operator="lessThanOrEqual" val="440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5EFB64-FAA4-4508-8784-19EEFF0C892A}"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F22"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18">
    <i>
      <x v="1"/>
      <x v="1"/>
    </i>
    <i r="1">
      <x v="2"/>
    </i>
    <i r="1">
      <x v="3"/>
    </i>
    <i r="1">
      <x v="4"/>
    </i>
    <i r="1">
      <x v="5"/>
    </i>
    <i r="1">
      <x v="6"/>
    </i>
    <i r="1">
      <x v="7"/>
    </i>
    <i r="1">
      <x v="8"/>
    </i>
    <i r="1">
      <x v="9"/>
    </i>
    <i r="1">
      <x v="10"/>
    </i>
    <i r="1">
      <x v="11"/>
    </i>
    <i r="1">
      <x v="12"/>
    </i>
    <i>
      <x v="2"/>
      <x v="1"/>
    </i>
    <i r="1">
      <x v="2"/>
    </i>
    <i r="1">
      <x v="3"/>
    </i>
    <i r="1">
      <x v="4"/>
    </i>
    <i r="1">
      <x v="5"/>
    </i>
    <i r="1">
      <x v="6"/>
    </i>
  </rowItems>
  <colFields count="1">
    <field x="13"/>
  </colFields>
  <colItems count="4">
    <i>
      <x/>
    </i>
    <i>
      <x v="1"/>
    </i>
    <i>
      <x v="2"/>
    </i>
    <i>
      <x v="3"/>
    </i>
  </colItems>
  <dataFields count="1">
    <dataField name="Sum of Sales" fld="12" baseField="15" baseItem="1" numFmtId="37"/>
  </dataFields>
  <chartFormats count="10">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2"/>
          </reference>
        </references>
      </pivotArea>
    </chartFormat>
    <chartFormat chart="7" format="3" series="1">
      <pivotArea type="data" outline="0" fieldPosition="0">
        <references count="2">
          <reference field="4294967294" count="1" selected="0">
            <x v="0"/>
          </reference>
          <reference field="13" count="1" selected="0">
            <x v="3"/>
          </reference>
        </references>
      </pivotArea>
    </chartFormat>
    <chartFormat chart="7" format="4">
      <pivotArea type="data" outline="0" fieldPosition="0">
        <references count="4">
          <reference field="4294967294" count="1" selected="0">
            <x v="0"/>
          </reference>
          <reference field="13" count="1" selected="0">
            <x v="1"/>
          </reference>
          <reference field="16" count="1" selected="0">
            <x v="11"/>
          </reference>
          <reference field="17" count="1" selected="0">
            <x v="3"/>
          </reference>
        </references>
      </pivotArea>
    </chartFormat>
    <chartFormat chart="14" format="10" series="1">
      <pivotArea type="data" outline="0" fieldPosition="0">
        <references count="2">
          <reference field="4294967294" count="1" selected="0">
            <x v="0"/>
          </reference>
          <reference field="13" count="1" selected="0">
            <x v="0"/>
          </reference>
        </references>
      </pivotArea>
    </chartFormat>
    <chartFormat chart="14" format="11" series="1">
      <pivotArea type="data" outline="0" fieldPosition="0">
        <references count="2">
          <reference field="4294967294" count="1" selected="0">
            <x v="0"/>
          </reference>
          <reference field="13" count="1" selected="0">
            <x v="1"/>
          </reference>
        </references>
      </pivotArea>
    </chartFormat>
    <chartFormat chart="14" format="12">
      <pivotArea type="data" outline="0" fieldPosition="0">
        <references count="4">
          <reference field="4294967294" count="1" selected="0">
            <x v="0"/>
          </reference>
          <reference field="13" count="1" selected="0">
            <x v="1"/>
          </reference>
          <reference field="16" count="1" selected="0">
            <x v="11"/>
          </reference>
          <reference field="17" count="1" selected="0">
            <x v="3"/>
          </reference>
        </references>
      </pivotArea>
    </chartFormat>
    <chartFormat chart="14" format="13" series="1">
      <pivotArea type="data" outline="0" fieldPosition="0">
        <references count="2">
          <reference field="4294967294" count="1" selected="0">
            <x v="0"/>
          </reference>
          <reference field="13" count="1" selected="0">
            <x v="2"/>
          </reference>
        </references>
      </pivotArea>
    </chartFormat>
    <chartFormat chart="14" format="14"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32" name="Order Date">
      <autoFilter ref="A1">
        <filterColumn colId="0">
          <customFilters and="1">
            <customFilter operator="greaterThanOrEqual" val="43466"/>
            <customFilter operator="lessThanOrEqual" val="440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CF47A5-2BFD-4813-BB47-89FA55F8602D}"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B11"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8">
    <i>
      <x v="289"/>
    </i>
    <i>
      <x v="785"/>
    </i>
    <i>
      <x v="518"/>
    </i>
    <i>
      <x v="218"/>
    </i>
    <i>
      <x v="639"/>
    </i>
    <i>
      <x v="255"/>
    </i>
    <i>
      <x v="28"/>
    </i>
    <i>
      <x v="125"/>
    </i>
  </rowItems>
  <colItems count="1">
    <i/>
  </colItems>
  <dataFields count="1">
    <dataField name="Sum of Sales" fld="12" baseField="7" baseItem="1" numFmtId="5"/>
  </dataFields>
  <chartFormats count="5">
    <chartFormat chart="12" format="1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29" name="Order Date">
      <autoFilter ref="A1">
        <filterColumn colId="0">
          <customFilters and="1">
            <customFilter operator="greaterThanOrEqual" val="43466"/>
            <customFilter operator="lessThanOrEqual" val="44012"/>
          </customFilters>
        </filterColumn>
      </autoFilter>
      <extLst>
        <ext xmlns:x15="http://schemas.microsoft.com/office/spreadsheetml/2010/11/main" uri="{0605FD5F-26C8-4aeb-8148-2DB25E43C511}">
          <x15:pivotFilter useWholeDay="1"/>
        </ext>
      </extLst>
    </filter>
    <filter fld="5"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A39539D-8785-40C1-8A10-236FF5399CFF}" sourceName="Size">
  <pivotTables>
    <pivotTable tabId="18" name="PivotTable1"/>
    <pivotTable tabId="19" name="PivotTable1"/>
    <pivotTable tabId="20" name="PivotTable1"/>
  </pivotTables>
  <data>
    <tabular pivotCacheId="27904490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DDDF024-1C1E-4BCD-A91F-8CE868999A29}" sourceName="Roast type name">
  <pivotTables>
    <pivotTable tabId="18" name="PivotTable1"/>
    <pivotTable tabId="19" name="PivotTable1"/>
    <pivotTable tabId="20" name="PivotTable1"/>
  </pivotTables>
  <data>
    <tabular pivotCacheId="27904490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5EA50C08-8CB5-4048-9443-F2DD5A0890F8}" sourceName="Loyalty Card">
  <pivotTables>
    <pivotTable tabId="18" name="PivotTable1"/>
    <pivotTable tabId="19" name="PivotTable1"/>
    <pivotTable tabId="20" name="PivotTable1"/>
  </pivotTables>
  <data>
    <tabular pivotCacheId="27904490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5FB9765-422B-4287-9518-3A7187916ADA}" cache="Slicer_Size" caption="Size" columnCount="2" style="BROWN SLICER" rowHeight="234950"/>
  <slicer name="Size 2" xr10:uid="{1BD0F317-374C-4AC5-88A0-D926E6D1AFC1}" cache="Slicer_Size" caption="Size" columnCount="2" style="BROWN SLICER" rowHeight="234950"/>
  <slicer name="Roast type name" xr10:uid="{B715EF67-E11C-4C29-A023-4C0A761A12D3}" cache="Slicer_Roast_type_name" caption="Roast type name" columnCount="3" style="BROWN SLICER" rowHeight="234950"/>
  <slicer name="Loyalty Card" xr10:uid="{AD46AE73-6924-451E-B88C-8F614139E65C}" cache="Slicer_Loyalty_Card" caption="Loyalty Card" style="BROWN 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C31F3F91-4E57-4914-BC98-5567A5ECBC53}" cache="Slicer_Size" caption="Size" columnCount="2" style="BROWN SLICER" rowHeight="234950"/>
  <slicer name="Roast type name 1" xr10:uid="{D108CA39-38C6-47EC-BA8E-CFCBD6E2DFC8}" cache="Slicer_Roast_type_name" caption="Roast type name" columnCount="3" style="BROWN SLICER" rowHeight="234950"/>
  <slicer name="Loyalty Card 1" xr10:uid="{1ECEDEF2-71A7-49D0-B732-03E01D501990}" cache="Slicer_Loyalty_Card" caption="Loyalty Card" style="BROWN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2F93BA-907C-4DF4-9749-A1D8760C6C54}" name="Orders" displayName="Orders" ref="A1:P1001" totalsRowShown="0" headerRowDxfId="13">
  <autoFilter ref="A1:P1001" xr:uid="{972F93BA-907C-4DF4-9749-A1D8760C6C54}"/>
  <tableColumns count="16">
    <tableColumn id="1" xr3:uid="{FE31BB53-5E62-409F-99A3-C68A94415F34}" name="Order ID" dataDxfId="12"/>
    <tableColumn id="2" xr3:uid="{E1DEF7F8-8AF1-4B43-B86D-0FFDF4466790}" name="Order Date" dataDxfId="11"/>
    <tableColumn id="3" xr3:uid="{F0941552-2307-4CBA-9ED3-509BA3ECAD35}" name="Customer ID" dataDxfId="10"/>
    <tableColumn id="4" xr3:uid="{F1C2DB01-29A3-45E4-8ED3-77DA7088805A}" name="Product ID"/>
    <tableColumn id="5" xr3:uid="{C4B26FC0-B21D-459D-898E-69D89C00C527}" name="Quantity" dataDxfId="9"/>
    <tableColumn id="6" xr3:uid="{0E094E36-E8C7-499B-83C0-9D79C3232712}" name="Customer Name" dataDxfId="8">
      <calculatedColumnFormula array="1">_xlfn.XLOOKUP(C2,customers!A$1:$A$1001,customers!$B$1:$B$1001,0)</calculatedColumnFormula>
    </tableColumn>
    <tableColumn id="7" xr3:uid="{0A0E667F-96D8-4DCE-97EC-664E9E7F191F}" name="Email" dataDxfId="7">
      <calculatedColumnFormula>IF(_xlfn.XLOOKUP(C2,customers!$A$1:$A$1001,customers!$C$1:$C$1001,0)=0,"",_xlfn.XLOOKUP(C2,customers!$A$1:$A$1001,customers!$C$1:$C$1001))</calculatedColumnFormula>
    </tableColumn>
    <tableColumn id="8" xr3:uid="{9921C23E-95F7-4521-90C0-0FE5812A9F3C}" name="Country" dataDxfId="6">
      <calculatedColumnFormula>_xlfn.XLOOKUP(C2,customers!$A$1:$A$1001,customers!$G$1:$G$1001,0)</calculatedColumnFormula>
    </tableColumn>
    <tableColumn id="9" xr3:uid="{41262818-12E7-4FCA-A622-586DE2D63CD4}" name="Coffee Type">
      <calculatedColumnFormula>INDEX(products!$A$1:$G$49,MATCH(orders!$D2,products!$A$1:$A$49,0),MATCH(orders!I$1,products!$A$1:$G$1,0))</calculatedColumnFormula>
    </tableColumn>
    <tableColumn id="10" xr3:uid="{63464654-6712-40F5-9D8F-DAD6B0A53370}" name="Roast Type">
      <calculatedColumnFormula>INDEX(products!$A$1:$G$49,MATCH(orders!$D2,products!$A$1:$A$49,0),MATCH(orders!J$1,products!$A$1:$G$1,0))</calculatedColumnFormula>
    </tableColumn>
    <tableColumn id="11" xr3:uid="{86D7C543-94BB-4229-B7EF-F71DFB1BA852}" name="Size" dataDxfId="5">
      <calculatedColumnFormula>INDEX(products!$A$1:$G$49,MATCH(orders!$D2,products!$A$1:$A$49,0),MATCH(orders!K$1,products!$A$1:$G$1,0))</calculatedColumnFormula>
    </tableColumn>
    <tableColumn id="12" xr3:uid="{C4DC4534-955E-4C9E-BAB7-B81724492551}" name="Unit Price" dataDxfId="4">
      <calculatedColumnFormula>INDEX(products!$A$1:$G$49,MATCH(orders!$D2,products!$A$1:$A$49,0),MATCH(orders!L$1,products!$A$1:$G$1,0))</calculatedColumnFormula>
    </tableColumn>
    <tableColumn id="13" xr3:uid="{BD9229B7-21E3-4110-A741-FD24A143A4D1}" name="Sales" dataDxfId="3">
      <calculatedColumnFormula>L2*E2</calculatedColumnFormula>
    </tableColumn>
    <tableColumn id="14" xr3:uid="{61BD673F-B93C-491A-B318-898611303EB6}" name="Coffe type name">
      <calculatedColumnFormula>IF(I2="Rob","Robusta",IF(I2="Exc","Excelsa",IF(I2="Ara","Arabica",IF(I2="Lib","Liberica",""))))</calculatedColumnFormula>
    </tableColumn>
    <tableColumn id="15" xr3:uid="{14ED9520-FF20-49D4-805B-3E69D983CB7C}" name="Roast type name">
      <calculatedColumnFormula>IF(J2="M","Medium",IF(J2="L","Light",IF(J2="D","Dark","")))</calculatedColumnFormula>
    </tableColumn>
    <tableColumn id="16" xr3:uid="{AE44DFF2-5AAB-491E-AD3E-976B46089669}" name="Loyalty Card" dataDxfId="2">
      <calculatedColumnFormula>_xlfn.XLOOKUP(Orders[[#This Row],[Customer ID]],customers!$A$1:$A$1001,customers!$I$1:$I$1001,0)</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CA3D8B2-F008-42F6-8BA0-3DCF2862E8CB}" sourceName="Order Date">
  <pivotTables>
    <pivotTable tabId="18" name="PivotTable1"/>
    <pivotTable tabId="19" name="PivotTable1"/>
    <pivotTable tabId="20" name="PivotTable1"/>
  </pivotTables>
  <state minimalRefreshVersion="6" lastRefreshVersion="6" pivotCacheId="279044907" filterType="dateBetween">
    <selection startDate="2019-01-01T00:00:00" endDate="2020-06-30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30C1CFB-CC32-44C4-AFFC-1D8074DC6F3F}" cache="NativeTimeline_Order_Date" caption="Order Date" level="2" selectionLevel="1" scrollPosition="2019-01-01T00:00:00" style="Brown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6B1FFEB3-91D4-4038-A3F5-8CD1EE434C08}" cache="NativeTimeline_Order_Date" caption="Order Date" level="2" selectionLevel="1" scrollPosition="2019-01-01T00:00:00" style="Brown timeline style"/>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75C15-2A5B-4503-BCF7-68BBD6DFCD3C}">
  <dimension ref="A3:B6"/>
  <sheetViews>
    <sheetView workbookViewId="0">
      <selection activeCell="O22" sqref="O22"/>
    </sheetView>
  </sheetViews>
  <sheetFormatPr defaultRowHeight="14.4" x14ac:dyDescent="0.3"/>
  <cols>
    <col min="1" max="1" width="14" bestFit="1" customWidth="1"/>
    <col min="2" max="3" width="11.6640625" bestFit="1" customWidth="1"/>
    <col min="4" max="4" width="7" bestFit="1" customWidth="1"/>
    <col min="5" max="5" width="7.44140625" bestFit="1" customWidth="1"/>
    <col min="6" max="6" width="7.88671875" bestFit="1" customWidth="1"/>
  </cols>
  <sheetData>
    <row r="3" spans="1:2" x14ac:dyDescent="0.3">
      <c r="A3" s="7" t="s">
        <v>7</v>
      </c>
      <c r="B3" t="s">
        <v>6218</v>
      </c>
    </row>
    <row r="4" spans="1:2" x14ac:dyDescent="0.3">
      <c r="A4" t="s">
        <v>28</v>
      </c>
      <c r="B4" s="9">
        <v>1644.68</v>
      </c>
    </row>
    <row r="5" spans="1:2" x14ac:dyDescent="0.3">
      <c r="A5" t="s">
        <v>318</v>
      </c>
      <c r="B5" s="9">
        <v>2528.3750000000005</v>
      </c>
    </row>
    <row r="6" spans="1:2" x14ac:dyDescent="0.3">
      <c r="A6" t="s">
        <v>19</v>
      </c>
      <c r="B6" s="9">
        <v>14433.794999999993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48BDD-C7D3-4A2E-9F93-5BE0ABB3CAB8}">
  <dimension ref="A3:F22"/>
  <sheetViews>
    <sheetView topLeftCell="B1" workbookViewId="0">
      <selection activeCell="B17" sqref="B17"/>
    </sheetView>
  </sheetViews>
  <sheetFormatPr defaultRowHeight="14.4" x14ac:dyDescent="0.3"/>
  <cols>
    <col min="1" max="1" width="12.5546875" bestFit="1" customWidth="1"/>
    <col min="2" max="2" width="20.88671875" bestFit="1" customWidth="1"/>
    <col min="3" max="3" width="17.33203125" bestFit="1" customWidth="1"/>
    <col min="4" max="4" width="7" bestFit="1" customWidth="1"/>
    <col min="5" max="5" width="7.44140625" bestFit="1" customWidth="1"/>
    <col min="6" max="6" width="7.88671875" bestFit="1" customWidth="1"/>
  </cols>
  <sheetData>
    <row r="3" spans="1:6" x14ac:dyDescent="0.3">
      <c r="A3" s="7" t="s">
        <v>6218</v>
      </c>
      <c r="C3" s="7" t="s">
        <v>6196</v>
      </c>
    </row>
    <row r="4" spans="1:6" x14ac:dyDescent="0.3">
      <c r="A4" s="7" t="s">
        <v>6212</v>
      </c>
      <c r="B4" s="7" t="s">
        <v>6213</v>
      </c>
      <c r="C4" t="s">
        <v>6214</v>
      </c>
      <c r="D4" t="s">
        <v>6215</v>
      </c>
      <c r="E4" t="s">
        <v>6216</v>
      </c>
      <c r="F4" t="s">
        <v>6217</v>
      </c>
    </row>
    <row r="5" spans="1:6" x14ac:dyDescent="0.3">
      <c r="A5" t="s">
        <v>6198</v>
      </c>
      <c r="B5" t="s">
        <v>6200</v>
      </c>
      <c r="C5" s="8">
        <v>186.85499999999999</v>
      </c>
      <c r="D5" s="8">
        <v>305.97000000000003</v>
      </c>
      <c r="E5" s="8">
        <v>213.16</v>
      </c>
      <c r="F5" s="8">
        <v>123</v>
      </c>
    </row>
    <row r="6" spans="1:6" x14ac:dyDescent="0.3">
      <c r="B6" t="s">
        <v>6201</v>
      </c>
      <c r="C6" s="8">
        <v>251.965</v>
      </c>
      <c r="D6" s="8">
        <v>129.46</v>
      </c>
      <c r="E6" s="8">
        <v>434.03999999999991</v>
      </c>
      <c r="F6" s="8">
        <v>171.93999999999997</v>
      </c>
    </row>
    <row r="7" spans="1:6" x14ac:dyDescent="0.3">
      <c r="B7" t="s">
        <v>6202</v>
      </c>
      <c r="C7" s="8">
        <v>224.94499999999999</v>
      </c>
      <c r="D7" s="8">
        <v>349.12</v>
      </c>
      <c r="E7" s="8">
        <v>321.03999999999996</v>
      </c>
      <c r="F7" s="8">
        <v>126.035</v>
      </c>
    </row>
    <row r="8" spans="1:6" x14ac:dyDescent="0.3">
      <c r="B8" t="s">
        <v>6203</v>
      </c>
      <c r="C8" s="8">
        <v>307.12</v>
      </c>
      <c r="D8" s="8">
        <v>681.07499999999993</v>
      </c>
      <c r="E8" s="8">
        <v>533.70499999999993</v>
      </c>
      <c r="F8" s="8">
        <v>158.85</v>
      </c>
    </row>
    <row r="9" spans="1:6" x14ac:dyDescent="0.3">
      <c r="B9" t="s">
        <v>6204</v>
      </c>
      <c r="C9" s="8">
        <v>53.664999999999992</v>
      </c>
      <c r="D9" s="8">
        <v>83.025000000000006</v>
      </c>
      <c r="E9" s="8">
        <v>193.83499999999998</v>
      </c>
      <c r="F9" s="8">
        <v>68.039999999999992</v>
      </c>
    </row>
    <row r="10" spans="1:6" x14ac:dyDescent="0.3">
      <c r="B10" t="s">
        <v>6205</v>
      </c>
      <c r="C10" s="8">
        <v>163.01999999999998</v>
      </c>
      <c r="D10" s="8">
        <v>678.3599999999999</v>
      </c>
      <c r="E10" s="8">
        <v>171.04499999999999</v>
      </c>
      <c r="F10" s="8">
        <v>372.255</v>
      </c>
    </row>
    <row r="11" spans="1:6" x14ac:dyDescent="0.3">
      <c r="B11" t="s">
        <v>6206</v>
      </c>
      <c r="C11" s="8">
        <v>345.02</v>
      </c>
      <c r="D11" s="8">
        <v>273.86999999999995</v>
      </c>
      <c r="E11" s="8">
        <v>184.13</v>
      </c>
      <c r="F11" s="8">
        <v>201.11499999999998</v>
      </c>
    </row>
    <row r="12" spans="1:6" x14ac:dyDescent="0.3">
      <c r="B12" t="s">
        <v>6207</v>
      </c>
      <c r="C12" s="8">
        <v>334.89</v>
      </c>
      <c r="D12" s="8">
        <v>70.95</v>
      </c>
      <c r="E12" s="8">
        <v>134.23000000000002</v>
      </c>
      <c r="F12" s="8">
        <v>166.27499999999998</v>
      </c>
    </row>
    <row r="13" spans="1:6" x14ac:dyDescent="0.3">
      <c r="B13" t="s">
        <v>6208</v>
      </c>
      <c r="C13" s="8">
        <v>178.70999999999998</v>
      </c>
      <c r="D13" s="8">
        <v>166.1</v>
      </c>
      <c r="E13" s="8">
        <v>439.30999999999995</v>
      </c>
      <c r="F13" s="8">
        <v>492.89999999999992</v>
      </c>
    </row>
    <row r="14" spans="1:6" x14ac:dyDescent="0.3">
      <c r="B14" t="s">
        <v>6209</v>
      </c>
      <c r="C14" s="8">
        <v>301.98499999999996</v>
      </c>
      <c r="D14" s="8">
        <v>153.76499999999999</v>
      </c>
      <c r="E14" s="8">
        <v>215.55499999999998</v>
      </c>
      <c r="F14" s="8">
        <v>213.66499999999999</v>
      </c>
    </row>
    <row r="15" spans="1:6" x14ac:dyDescent="0.3">
      <c r="B15" t="s">
        <v>6210</v>
      </c>
      <c r="C15" s="8">
        <v>312.83499999999998</v>
      </c>
      <c r="D15" s="8">
        <v>63.249999999999993</v>
      </c>
      <c r="E15" s="8">
        <v>350.89499999999998</v>
      </c>
      <c r="F15" s="8">
        <v>96.404999999999987</v>
      </c>
    </row>
    <row r="16" spans="1:6" x14ac:dyDescent="0.3">
      <c r="B16" t="s">
        <v>6211</v>
      </c>
      <c r="C16" s="8">
        <v>265.62</v>
      </c>
      <c r="D16" s="8">
        <v>526.51499999999987</v>
      </c>
      <c r="E16" s="8">
        <v>187.05999999999997</v>
      </c>
      <c r="F16" s="8">
        <v>210.58999999999997</v>
      </c>
    </row>
    <row r="17" spans="1:6" x14ac:dyDescent="0.3">
      <c r="A17" t="s">
        <v>6199</v>
      </c>
      <c r="B17" t="s">
        <v>6200</v>
      </c>
      <c r="C17" s="8">
        <v>47.25</v>
      </c>
      <c r="D17" s="8">
        <v>65.805000000000007</v>
      </c>
      <c r="E17" s="8">
        <v>274.67500000000001</v>
      </c>
      <c r="F17" s="8">
        <v>179.21999999999997</v>
      </c>
    </row>
    <row r="18" spans="1:6" x14ac:dyDescent="0.3">
      <c r="B18" t="s">
        <v>6201</v>
      </c>
      <c r="C18" s="8">
        <v>745.44999999999993</v>
      </c>
      <c r="D18" s="8">
        <v>428.88499999999999</v>
      </c>
      <c r="E18" s="8">
        <v>194.17500000000001</v>
      </c>
      <c r="F18" s="8">
        <v>429.83</v>
      </c>
    </row>
    <row r="19" spans="1:6" x14ac:dyDescent="0.3">
      <c r="B19" t="s">
        <v>6202</v>
      </c>
      <c r="C19" s="8">
        <v>130.47</v>
      </c>
      <c r="D19" s="8">
        <v>271.48500000000001</v>
      </c>
      <c r="E19" s="8">
        <v>281.20499999999998</v>
      </c>
      <c r="F19" s="8">
        <v>231.63</v>
      </c>
    </row>
    <row r="20" spans="1:6" x14ac:dyDescent="0.3">
      <c r="B20" t="s">
        <v>6203</v>
      </c>
      <c r="C20" s="8">
        <v>27</v>
      </c>
      <c r="D20" s="8">
        <v>347.26</v>
      </c>
      <c r="E20" s="8">
        <v>147.51000000000002</v>
      </c>
      <c r="F20" s="8">
        <v>240.04</v>
      </c>
    </row>
    <row r="21" spans="1:6" x14ac:dyDescent="0.3">
      <c r="B21" t="s">
        <v>6204</v>
      </c>
      <c r="C21" s="8">
        <v>255.11499999999995</v>
      </c>
      <c r="D21" s="8">
        <v>541.73</v>
      </c>
      <c r="E21" s="8">
        <v>83.429999999999993</v>
      </c>
      <c r="F21" s="8">
        <v>59.079999999999991</v>
      </c>
    </row>
    <row r="22" spans="1:6" x14ac:dyDescent="0.3">
      <c r="B22" t="s">
        <v>6205</v>
      </c>
      <c r="C22" s="8">
        <v>584.79</v>
      </c>
      <c r="D22" s="8">
        <v>357.42999999999989</v>
      </c>
      <c r="E22" s="8">
        <v>355.34</v>
      </c>
      <c r="F22" s="8">
        <v>140.87999999999997</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115" zoomScaleNormal="115" workbookViewId="0">
      <selection activeCell="P2" sqref="P2"/>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 customWidth="1"/>
    <col min="7" max="7" width="27.109375" customWidth="1"/>
    <col min="8" max="8" width="14.33203125" customWidth="1"/>
    <col min="9" max="9" width="12.6640625" customWidth="1"/>
    <col min="10" max="10" width="11.6640625" customWidth="1"/>
    <col min="11" max="11" width="5.88671875" bestFit="1" customWidth="1"/>
    <col min="12" max="12" width="12.109375" style="6" customWidth="1"/>
    <col min="13" max="13" width="10.109375" customWidth="1"/>
    <col min="14" max="14" width="16.5546875" customWidth="1"/>
    <col min="15" max="15" width="16.6640625" customWidth="1"/>
    <col min="16" max="16" width="13.21875" customWidth="1"/>
  </cols>
  <sheetData>
    <row r="1" spans="1:16" x14ac:dyDescent="0.3">
      <c r="A1" s="2" t="s">
        <v>0</v>
      </c>
      <c r="B1" s="2" t="s">
        <v>1</v>
      </c>
      <c r="C1" s="2" t="s">
        <v>3</v>
      </c>
      <c r="D1" s="2" t="s">
        <v>11</v>
      </c>
      <c r="E1" s="2" t="s">
        <v>14</v>
      </c>
      <c r="F1" s="2" t="s">
        <v>4</v>
      </c>
      <c r="G1" s="2" t="s">
        <v>2</v>
      </c>
      <c r="H1" s="2" t="s">
        <v>7</v>
      </c>
      <c r="I1" s="2" t="s">
        <v>9</v>
      </c>
      <c r="J1" s="2" t="s">
        <v>10</v>
      </c>
      <c r="K1" s="2" t="s">
        <v>12</v>
      </c>
      <c r="L1" s="5" t="s">
        <v>13</v>
      </c>
      <c r="M1" s="5" t="s">
        <v>15</v>
      </c>
      <c r="N1" s="2" t="s">
        <v>6196</v>
      </c>
      <c r="O1" s="2" t="s">
        <v>6197</v>
      </c>
      <c r="P1" s="2" t="s">
        <v>6189</v>
      </c>
    </row>
    <row r="2" spans="1:16" x14ac:dyDescent="0.3">
      <c r="A2" s="2" t="s">
        <v>490</v>
      </c>
      <c r="B2" s="3">
        <v>43713</v>
      </c>
      <c r="C2" s="2" t="s">
        <v>491</v>
      </c>
      <c r="D2" t="s">
        <v>6138</v>
      </c>
      <c r="E2" s="2">
        <v>2</v>
      </c>
      <c r="F2" s="2" t="str" cm="1">
        <f t="array" ref="F2">_xlfn.XLOOKUP(C2,customers!A$1:$A$1001,customers!$B$1:$B$1001,0)</f>
        <v>Aloisia Allner</v>
      </c>
      <c r="G2" s="2" t="str">
        <f>IF(_xlfn.XLOOKUP(C2,customers!$A$1:$A$1001,customers!$C$1:$C$1001,0)=0,"",_xlfn.XLOOKUP(C2,customers!$A$1:$A$1001,customers!$C$1:$C$1001))</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6">
        <f>INDEX(products!$A$1:$G$49,MATCH(orders!$D2,products!$A$1:$A$49,0),MATCH(orders!L$1,products!$A$1:$G$1,0))</f>
        <v>9.9499999999999993</v>
      </c>
      <c r="M2" s="6">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cm="1">
        <f t="array" ref="F3">_xlfn.XLOOKUP(C3,customers!A$1:$A$1001,customers!$B$1:$B$1001,0)</f>
        <v>Aloisia Allner</v>
      </c>
      <c r="G3" s="2" t="str">
        <f>IF(_xlfn.XLOOKUP(C3,customers!$A$1:$A$1001,customers!$C$1:$C$1001,0)=0,"",_xlfn.XLOOKUP(C3,customers!$A$1:$A$1001,customers!$C$1:$C$1001))</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6">
        <f>INDEX(products!$A$1:$G$49,MATCH(orders!$D3,products!$A$1:$A$49,0),MATCH(orders!L$1,products!$A$1:$G$1,0))</f>
        <v>8.25</v>
      </c>
      <c r="M3" s="6">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cm="1">
        <f t="array" ref="F4">_xlfn.XLOOKUP(C4,customers!A$1:$A$1001,customers!$B$1:$B$1001,0)</f>
        <v>Jami Redholes</v>
      </c>
      <c r="G4" s="2" t="str">
        <f>IF(_xlfn.XLOOKUP(C4,customers!$A$1:$A$1001,customers!$C$1:$C$1001,0)=0,"",_xlfn.XLOOKUP(C4,customers!$A$1:$A$1001,customers!$C$1:$C$1001))</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6">
        <f>INDEX(products!$A$1:$G$49,MATCH(orders!$D4,products!$A$1:$A$49,0),MATCH(orders!L$1,products!$A$1:$G$1,0))</f>
        <v>12.95</v>
      </c>
      <c r="M4" s="6">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cm="1">
        <f t="array" ref="F5">_xlfn.XLOOKUP(C5,customers!A$1:$A$1001,customers!$B$1:$B$1001,0)</f>
        <v>Christoffer O' Shea</v>
      </c>
      <c r="G5" s="2" t="str">
        <f>IF(_xlfn.XLOOKUP(C5,customers!$A$1:$A$1001,customers!$C$1:$C$1001,0)=0,"",_xlfn.XLOOKUP(C5,customers!$A$1:$A$1001,customers!$C$1:$C$1001))</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6">
        <f>INDEX(products!$A$1:$G$49,MATCH(orders!$D5,products!$A$1:$A$49,0),MATCH(orders!L$1,products!$A$1:$G$1,0))</f>
        <v>13.75</v>
      </c>
      <c r="M5" s="6">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cm="1">
        <f t="array" ref="F6">_xlfn.XLOOKUP(C6,customers!A$1:$A$1001,customers!$B$1:$B$1001,0)</f>
        <v>Christoffer O' Shea</v>
      </c>
      <c r="G6" s="2" t="str">
        <f>IF(_xlfn.XLOOKUP(C6,customers!$A$1:$A$1001,customers!$C$1:$C$1001,0)=0,"",_xlfn.XLOOKUP(C6,customers!$A$1:$A$1001,customers!$C$1:$C$1001))</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6">
        <f>INDEX(products!$A$1:$G$49,MATCH(orders!$D6,products!$A$1:$A$49,0),MATCH(orders!L$1,products!$A$1:$G$1,0))</f>
        <v>27.484999999999996</v>
      </c>
      <c r="M6" s="6">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cm="1">
        <f t="array" ref="F7">_xlfn.XLOOKUP(C7,customers!A$1:$A$1001,customers!$B$1:$B$1001,0)</f>
        <v>Beryle Cottier</v>
      </c>
      <c r="G7" s="2" t="str">
        <f>IF(_xlfn.XLOOKUP(C7,customers!$A$1:$A$1001,customers!$C$1:$C$1001,0)=0,"",_xlfn.XLOOKUP(C7,customers!$A$1:$A$1001,customers!$C$1:$C$1001))</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6">
        <f>INDEX(products!$A$1:$G$49,MATCH(orders!$D7,products!$A$1:$A$49,0),MATCH(orders!L$1,products!$A$1:$G$1,0))</f>
        <v>12.95</v>
      </c>
      <c r="M7" s="6">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cm="1">
        <f t="array" ref="F8">_xlfn.XLOOKUP(C8,customers!A$1:$A$1001,customers!$B$1:$B$1001,0)</f>
        <v>Shaylynn Lobe</v>
      </c>
      <c r="G8" s="2" t="str">
        <f>IF(_xlfn.XLOOKUP(C8,customers!$A$1:$A$1001,customers!$C$1:$C$1001,0)=0,"",_xlfn.XLOOKUP(C8,customers!$A$1:$A$1001,customers!$C$1:$C$1001))</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6">
        <f>INDEX(products!$A$1:$G$49,MATCH(orders!$D8,products!$A$1:$A$49,0),MATCH(orders!L$1,products!$A$1:$G$1,0))</f>
        <v>7.29</v>
      </c>
      <c r="M8" s="6">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cm="1">
        <f t="array" ref="F9">_xlfn.XLOOKUP(C9,customers!A$1:$A$1001,customers!$B$1:$B$1001,0)</f>
        <v>Melvin Wharfe</v>
      </c>
      <c r="G9" s="2" t="str">
        <f>IF(_xlfn.XLOOKUP(C9,customers!$A$1:$A$1001,customers!$C$1:$C$1001,0)=0,"",_xlfn.XLOOKUP(C9,customers!$A$1:$A$1001,customers!$C$1:$C$1001))</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6">
        <f>INDEX(products!$A$1:$G$49,MATCH(orders!$D9,products!$A$1:$A$49,0),MATCH(orders!L$1,products!$A$1:$G$1,0))</f>
        <v>4.7549999999999999</v>
      </c>
      <c r="M9" s="6">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cm="1">
        <f t="array" ref="F10">_xlfn.XLOOKUP(C10,customers!A$1:$A$1001,customers!$B$1:$B$1001,0)</f>
        <v>Guthrey Petracci</v>
      </c>
      <c r="G10" s="2" t="str">
        <f>IF(_xlfn.XLOOKUP(C10,customers!$A$1:$A$1001,customers!$C$1:$C$1001,0)=0,"",_xlfn.XLOOKUP(C10,customers!$A$1:$A$1001,customers!$C$1:$C$1001))</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6">
        <f>INDEX(products!$A$1:$G$49,MATCH(orders!$D10,products!$A$1:$A$49,0),MATCH(orders!L$1,products!$A$1:$G$1,0))</f>
        <v>5.97</v>
      </c>
      <c r="M10" s="6">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cm="1">
        <f t="array" ref="F11">_xlfn.XLOOKUP(C11,customers!A$1:$A$1001,customers!$B$1:$B$1001,0)</f>
        <v>Rodger Raven</v>
      </c>
      <c r="G11" s="2" t="str">
        <f>IF(_xlfn.XLOOKUP(C11,customers!$A$1:$A$1001,customers!$C$1:$C$1001,0)=0,"",_xlfn.XLOOKUP(C11,customers!$A$1:$A$1001,customers!$C$1:$C$1001))</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6">
        <f>INDEX(products!$A$1:$G$49,MATCH(orders!$D11,products!$A$1:$A$49,0),MATCH(orders!L$1,products!$A$1:$G$1,0))</f>
        <v>5.97</v>
      </c>
      <c r="M11" s="6">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cm="1">
        <f t="array" ref="F12">_xlfn.XLOOKUP(C12,customers!A$1:$A$1001,customers!$B$1:$B$1001,0)</f>
        <v>Ferrell Ferber</v>
      </c>
      <c r="G12" s="2" t="str">
        <f>IF(_xlfn.XLOOKUP(C12,customers!$A$1:$A$1001,customers!$C$1:$C$1001,0)=0,"",_xlfn.XLOOKUP(C12,customers!$A$1:$A$1001,customers!$C$1:$C$1001))</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6">
        <f>INDEX(products!$A$1:$G$49,MATCH(orders!$D12,products!$A$1:$A$49,0),MATCH(orders!L$1,products!$A$1:$G$1,0))</f>
        <v>9.9499999999999993</v>
      </c>
      <c r="M12" s="6">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cm="1">
        <f t="array" ref="F13">_xlfn.XLOOKUP(C13,customers!A$1:$A$1001,customers!$B$1:$B$1001,0)</f>
        <v>Duky Phizackerly</v>
      </c>
      <c r="G13" s="2" t="str">
        <f>IF(_xlfn.XLOOKUP(C13,customers!$A$1:$A$1001,customers!$C$1:$C$1001,0)=0,"",_xlfn.XLOOKUP(C13,customers!$A$1:$A$1001,customers!$C$1:$C$1001))</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6">
        <f>INDEX(products!$A$1:$G$49,MATCH(orders!$D13,products!$A$1:$A$49,0),MATCH(orders!L$1,products!$A$1:$G$1,0))</f>
        <v>34.154999999999994</v>
      </c>
      <c r="M13" s="6">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cm="1">
        <f t="array" ref="F14">_xlfn.XLOOKUP(C14,customers!A$1:$A$1001,customers!$B$1:$B$1001,0)</f>
        <v>Rosaleen Scholar</v>
      </c>
      <c r="G14" s="2" t="str">
        <f>IF(_xlfn.XLOOKUP(C14,customers!$A$1:$A$1001,customers!$C$1:$C$1001,0)=0,"",_xlfn.XLOOKUP(C14,customers!$A$1:$A$1001,customers!$C$1:$C$1001))</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6">
        <f>INDEX(products!$A$1:$G$49,MATCH(orders!$D14,products!$A$1:$A$49,0),MATCH(orders!L$1,products!$A$1:$G$1,0))</f>
        <v>9.9499999999999993</v>
      </c>
      <c r="M14" s="6">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cm="1">
        <f t="array" ref="F15">_xlfn.XLOOKUP(C15,customers!A$1:$A$1001,customers!$B$1:$B$1001,0)</f>
        <v>Terence Vanyutin</v>
      </c>
      <c r="G15" s="2" t="str">
        <f>IF(_xlfn.XLOOKUP(C15,customers!$A$1:$A$1001,customers!$C$1:$C$1001,0)=0,"",_xlfn.XLOOKUP(C15,customers!$A$1:$A$1001,customers!$C$1:$C$1001))</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6">
        <f>INDEX(products!$A$1:$G$49,MATCH(orders!$D15,products!$A$1:$A$49,0),MATCH(orders!L$1,products!$A$1:$G$1,0))</f>
        <v>20.584999999999997</v>
      </c>
      <c r="M15" s="6">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cm="1">
        <f t="array" ref="F16">_xlfn.XLOOKUP(C16,customers!A$1:$A$1001,customers!$B$1:$B$1001,0)</f>
        <v>Patrice Trobe</v>
      </c>
      <c r="G16" s="2" t="str">
        <f>IF(_xlfn.XLOOKUP(C16,customers!$A$1:$A$1001,customers!$C$1:$C$1001,0)=0,"",_xlfn.XLOOKUP(C16,customers!$A$1:$A$1001,customers!$C$1:$C$1001))</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6">
        <f>INDEX(products!$A$1:$G$49,MATCH(orders!$D16,products!$A$1:$A$49,0),MATCH(orders!L$1,products!$A$1:$G$1,0))</f>
        <v>3.8849999999999998</v>
      </c>
      <c r="M16" s="6">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cm="1">
        <f t="array" ref="F17">_xlfn.XLOOKUP(C17,customers!A$1:$A$1001,customers!$B$1:$B$1001,0)</f>
        <v>Llywellyn Oscroft</v>
      </c>
      <c r="G17" s="2" t="str">
        <f>IF(_xlfn.XLOOKUP(C17,customers!$A$1:$A$1001,customers!$C$1:$C$1001,0)=0,"",_xlfn.XLOOKUP(C17,customers!$A$1:$A$1001,customers!$C$1:$C$1001))</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6">
        <f>INDEX(products!$A$1:$G$49,MATCH(orders!$D17,products!$A$1:$A$49,0),MATCH(orders!L$1,products!$A$1:$G$1,0))</f>
        <v>22.884999999999998</v>
      </c>
      <c r="M17" s="6">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cm="1">
        <f t="array" ref="F18">_xlfn.XLOOKUP(C18,customers!A$1:$A$1001,customers!$B$1:$B$1001,0)</f>
        <v>Minni Alabaster</v>
      </c>
      <c r="G18" s="2" t="str">
        <f>IF(_xlfn.XLOOKUP(C18,customers!$A$1:$A$1001,customers!$C$1:$C$1001,0)=0,"",_xlfn.XLOOKUP(C18,customers!$A$1:$A$1001,customers!$C$1:$C$1001))</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6">
        <f>INDEX(products!$A$1:$G$49,MATCH(orders!$D18,products!$A$1:$A$49,0),MATCH(orders!L$1,products!$A$1:$G$1,0))</f>
        <v>3.375</v>
      </c>
      <c r="M18" s="6">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cm="1">
        <f t="array" ref="F19">_xlfn.XLOOKUP(C19,customers!A$1:$A$1001,customers!$B$1:$B$1001,0)</f>
        <v>Rhianon Broxup</v>
      </c>
      <c r="G19" s="2" t="str">
        <f>IF(_xlfn.XLOOKUP(C19,customers!$A$1:$A$1001,customers!$C$1:$C$1001,0)=0,"",_xlfn.XLOOKUP(C19,customers!$A$1:$A$1001,customers!$C$1:$C$1001))</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6">
        <f>INDEX(products!$A$1:$G$49,MATCH(orders!$D19,products!$A$1:$A$49,0),MATCH(orders!L$1,products!$A$1:$G$1,0))</f>
        <v>12.95</v>
      </c>
      <c r="M19" s="6">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cm="1">
        <f t="array" ref="F20">_xlfn.XLOOKUP(C20,customers!A$1:$A$1001,customers!$B$1:$B$1001,0)</f>
        <v>Pall Redford</v>
      </c>
      <c r="G20" s="2" t="str">
        <f>IF(_xlfn.XLOOKUP(C20,customers!$A$1:$A$1001,customers!$C$1:$C$1001,0)=0,"",_xlfn.XLOOKUP(C20,customers!$A$1:$A$1001,customers!$C$1:$C$1001))</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6">
        <f>INDEX(products!$A$1:$G$49,MATCH(orders!$D20,products!$A$1:$A$49,0),MATCH(orders!L$1,products!$A$1:$G$1,0))</f>
        <v>20.584999999999997</v>
      </c>
      <c r="M20" s="6">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cm="1">
        <f t="array" ref="F21">_xlfn.XLOOKUP(C21,customers!A$1:$A$1001,customers!$B$1:$B$1001,0)</f>
        <v>Aurea Corradino</v>
      </c>
      <c r="G21" s="2" t="str">
        <f>IF(_xlfn.XLOOKUP(C21,customers!$A$1:$A$1001,customers!$C$1:$C$1001,0)=0,"",_xlfn.XLOOKUP(C21,customers!$A$1:$A$1001,customers!$C$1:$C$1001))</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6">
        <f>INDEX(products!$A$1:$G$49,MATCH(orders!$D21,products!$A$1:$A$49,0),MATCH(orders!L$1,products!$A$1:$G$1,0))</f>
        <v>3.375</v>
      </c>
      <c r="M21" s="6">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cm="1">
        <f t="array" ref="F22">_xlfn.XLOOKUP(C22,customers!A$1:$A$1001,customers!$B$1:$B$1001,0)</f>
        <v>Aurea Corradino</v>
      </c>
      <c r="G22" s="2" t="str">
        <f>IF(_xlfn.XLOOKUP(C22,customers!$A$1:$A$1001,customers!$C$1:$C$1001,0)=0,"",_xlfn.XLOOKUP(C22,customers!$A$1:$A$1001,customers!$C$1:$C$1001))</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6">
        <f>INDEX(products!$A$1:$G$49,MATCH(orders!$D22,products!$A$1:$A$49,0),MATCH(orders!L$1,products!$A$1:$G$1,0))</f>
        <v>3.645</v>
      </c>
      <c r="M22" s="6">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cm="1">
        <f t="array" ref="F23">_xlfn.XLOOKUP(C23,customers!A$1:$A$1001,customers!$B$1:$B$1001,0)</f>
        <v>Avrit Davidowsky</v>
      </c>
      <c r="G23" s="2" t="str">
        <f>IF(_xlfn.XLOOKUP(C23,customers!$A$1:$A$1001,customers!$C$1:$C$1001,0)=0,"",_xlfn.XLOOKUP(C23,customers!$A$1:$A$1001,customers!$C$1:$C$1001))</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6">
        <f>INDEX(products!$A$1:$G$49,MATCH(orders!$D23,products!$A$1:$A$49,0),MATCH(orders!L$1,products!$A$1:$G$1,0))</f>
        <v>2.9849999999999999</v>
      </c>
      <c r="M23" s="6">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cm="1">
        <f t="array" ref="F24">_xlfn.XLOOKUP(C24,customers!A$1:$A$1001,customers!$B$1:$B$1001,0)</f>
        <v>Annabel Antuk</v>
      </c>
      <c r="G24" s="2" t="str">
        <f>IF(_xlfn.XLOOKUP(C24,customers!$A$1:$A$1001,customers!$C$1:$C$1001,0)=0,"",_xlfn.XLOOKUP(C24,customers!$A$1:$A$1001,customers!$C$1:$C$1001))</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6">
        <f>INDEX(products!$A$1:$G$49,MATCH(orders!$D24,products!$A$1:$A$49,0),MATCH(orders!L$1,products!$A$1:$G$1,0))</f>
        <v>22.884999999999998</v>
      </c>
      <c r="M24" s="6">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cm="1">
        <f t="array" ref="F25">_xlfn.XLOOKUP(C25,customers!A$1:$A$1001,customers!$B$1:$B$1001,0)</f>
        <v>Iorgo Kleinert</v>
      </c>
      <c r="G25" s="2" t="str">
        <f>IF(_xlfn.XLOOKUP(C25,customers!$A$1:$A$1001,customers!$C$1:$C$1001,0)=0,"",_xlfn.XLOOKUP(C25,customers!$A$1:$A$1001,customers!$C$1:$C$1001))</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6">
        <f>INDEX(products!$A$1:$G$49,MATCH(orders!$D25,products!$A$1:$A$49,0),MATCH(orders!L$1,products!$A$1:$G$1,0))</f>
        <v>2.9849999999999999</v>
      </c>
      <c r="M25" s="6">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cm="1">
        <f t="array" ref="F26">_xlfn.XLOOKUP(C26,customers!A$1:$A$1001,customers!$B$1:$B$1001,0)</f>
        <v>Chrisy Blofeld</v>
      </c>
      <c r="G26" s="2" t="str">
        <f>IF(_xlfn.XLOOKUP(C26,customers!$A$1:$A$1001,customers!$C$1:$C$1001,0)=0,"",_xlfn.XLOOKUP(C26,customers!$A$1:$A$1001,customers!$C$1:$C$1001))</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6">
        <f>INDEX(products!$A$1:$G$49,MATCH(orders!$D26,products!$A$1:$A$49,0),MATCH(orders!L$1,products!$A$1:$G$1,0))</f>
        <v>11.25</v>
      </c>
      <c r="M26" s="6">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cm="1">
        <f t="array" ref="F27">_xlfn.XLOOKUP(C27,customers!A$1:$A$1001,customers!$B$1:$B$1001,0)</f>
        <v>Culley Farris</v>
      </c>
      <c r="G27" s="2" t="str">
        <f>IF(_xlfn.XLOOKUP(C27,customers!$A$1:$A$1001,customers!$C$1:$C$1001,0)=0,"",_xlfn.XLOOKUP(C27,customers!$A$1:$A$1001,customers!$C$1:$C$1001))</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6">
        <f>INDEX(products!$A$1:$G$49,MATCH(orders!$D27,products!$A$1:$A$49,0),MATCH(orders!L$1,products!$A$1:$G$1,0))</f>
        <v>4.125</v>
      </c>
      <c r="M27" s="6">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cm="1">
        <f t="array" ref="F28">_xlfn.XLOOKUP(C28,customers!A$1:$A$1001,customers!$B$1:$B$1001,0)</f>
        <v>Selene Shales</v>
      </c>
      <c r="G28" s="2" t="str">
        <f>IF(_xlfn.XLOOKUP(C28,customers!$A$1:$A$1001,customers!$C$1:$C$1001,0)=0,"",_xlfn.XLOOKUP(C28,customers!$A$1:$A$1001,customers!$C$1:$C$1001))</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6">
        <f>INDEX(products!$A$1:$G$49,MATCH(orders!$D28,products!$A$1:$A$49,0),MATCH(orders!L$1,products!$A$1:$G$1,0))</f>
        <v>6.75</v>
      </c>
      <c r="M28" s="6">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cm="1">
        <f t="array" ref="F29">_xlfn.XLOOKUP(C29,customers!A$1:$A$1001,customers!$B$1:$B$1001,0)</f>
        <v>Vivie Danneil</v>
      </c>
      <c r="G29" s="2" t="str">
        <f>IF(_xlfn.XLOOKUP(C29,customers!$A$1:$A$1001,customers!$C$1:$C$1001,0)=0,"",_xlfn.XLOOKUP(C29,customers!$A$1:$A$1001,customers!$C$1:$C$1001))</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6">
        <f>INDEX(products!$A$1:$G$49,MATCH(orders!$D29,products!$A$1:$A$49,0),MATCH(orders!L$1,products!$A$1:$G$1,0))</f>
        <v>3.375</v>
      </c>
      <c r="M29" s="6">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cm="1">
        <f t="array" ref="F30">_xlfn.XLOOKUP(C30,customers!A$1:$A$1001,customers!$B$1:$B$1001,0)</f>
        <v>Theresita Newbury</v>
      </c>
      <c r="G30" s="2" t="str">
        <f>IF(_xlfn.XLOOKUP(C30,customers!$A$1:$A$1001,customers!$C$1:$C$1001,0)=0,"",_xlfn.XLOOKUP(C30,customers!$A$1:$A$1001,customers!$C$1:$C$1001))</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6">
        <f>INDEX(products!$A$1:$G$49,MATCH(orders!$D30,products!$A$1:$A$49,0),MATCH(orders!L$1,products!$A$1:$G$1,0))</f>
        <v>5.97</v>
      </c>
      <c r="M30" s="6">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cm="1">
        <f t="array" ref="F31">_xlfn.XLOOKUP(C31,customers!A$1:$A$1001,customers!$B$1:$B$1001,0)</f>
        <v>Mozelle Calcutt</v>
      </c>
      <c r="G31" s="2" t="str">
        <f>IF(_xlfn.XLOOKUP(C31,customers!$A$1:$A$1001,customers!$C$1:$C$1001,0)=0,"",_xlfn.XLOOKUP(C31,customers!$A$1:$A$1001,customers!$C$1:$C$1001))</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6">
        <f>INDEX(products!$A$1:$G$49,MATCH(orders!$D31,products!$A$1:$A$49,0),MATCH(orders!L$1,products!$A$1:$G$1,0))</f>
        <v>9.9499999999999993</v>
      </c>
      <c r="M31" s="6">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cm="1">
        <f t="array" ref="F32">_xlfn.XLOOKUP(C32,customers!A$1:$A$1001,customers!$B$1:$B$1001,0)</f>
        <v>Adrian Swaine</v>
      </c>
      <c r="G32" s="2" t="str">
        <f>IF(_xlfn.XLOOKUP(C32,customers!$A$1:$A$1001,customers!$C$1:$C$1001,0)=0,"",_xlfn.XLOOKUP(C32,customers!$A$1:$A$1001,customers!$C$1:$C$1001))</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6">
        <f>INDEX(products!$A$1:$G$49,MATCH(orders!$D32,products!$A$1:$A$49,0),MATCH(orders!L$1,products!$A$1:$G$1,0))</f>
        <v>4.3650000000000002</v>
      </c>
      <c r="M32" s="6">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cm="1">
        <f t="array" ref="F33">_xlfn.XLOOKUP(C33,customers!A$1:$A$1001,customers!$B$1:$B$1001,0)</f>
        <v>Adrian Swaine</v>
      </c>
      <c r="G33" s="2" t="str">
        <f>IF(_xlfn.XLOOKUP(C33,customers!$A$1:$A$1001,customers!$C$1:$C$1001,0)=0,"",_xlfn.XLOOKUP(C33,customers!$A$1:$A$1001,customers!$C$1:$C$1001))</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6">
        <f>INDEX(products!$A$1:$G$49,MATCH(orders!$D33,products!$A$1:$A$49,0),MATCH(orders!L$1,products!$A$1:$G$1,0))</f>
        <v>5.97</v>
      </c>
      <c r="M33" s="6">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cm="1">
        <f t="array" ref="F34">_xlfn.XLOOKUP(C34,customers!A$1:$A$1001,customers!$B$1:$B$1001,0)</f>
        <v>Adrian Swaine</v>
      </c>
      <c r="G34" s="2" t="str">
        <f>IF(_xlfn.XLOOKUP(C34,customers!$A$1:$A$1001,customers!$C$1:$C$1001,0)=0,"",_xlfn.XLOOKUP(C34,customers!$A$1:$A$1001,customers!$C$1:$C$1001))</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6">
        <f>INDEX(products!$A$1:$G$49,MATCH(orders!$D34,products!$A$1:$A$49,0),MATCH(orders!L$1,products!$A$1:$G$1,0))</f>
        <v>8.73</v>
      </c>
      <c r="M34" s="6">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cm="1">
        <f t="array" ref="F35">_xlfn.XLOOKUP(C35,customers!A$1:$A$1001,customers!$B$1:$B$1001,0)</f>
        <v>Gallard Gatheral</v>
      </c>
      <c r="G35" s="2" t="str">
        <f>IF(_xlfn.XLOOKUP(C35,customers!$A$1:$A$1001,customers!$C$1:$C$1001,0)=0,"",_xlfn.XLOOKUP(C35,customers!$A$1:$A$1001,customers!$C$1:$C$1001))</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6">
        <f>INDEX(products!$A$1:$G$49,MATCH(orders!$D35,products!$A$1:$A$49,0),MATCH(orders!L$1,products!$A$1:$G$1,0))</f>
        <v>4.7549999999999999</v>
      </c>
      <c r="M35" s="6">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cm="1">
        <f t="array" ref="F36">_xlfn.XLOOKUP(C36,customers!A$1:$A$1001,customers!$B$1:$B$1001,0)</f>
        <v>Una Welberry</v>
      </c>
      <c r="G36" s="2" t="str">
        <f>IF(_xlfn.XLOOKUP(C36,customers!$A$1:$A$1001,customers!$C$1:$C$1001,0)=0,"",_xlfn.XLOOKUP(C36,customers!$A$1:$A$1001,customers!$C$1:$C$1001))</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6">
        <f>INDEX(products!$A$1:$G$49,MATCH(orders!$D36,products!$A$1:$A$49,0),MATCH(orders!L$1,products!$A$1:$G$1,0))</f>
        <v>9.51</v>
      </c>
      <c r="M36" s="6">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cm="1">
        <f t="array" ref="F37">_xlfn.XLOOKUP(C37,customers!A$1:$A$1001,customers!$B$1:$B$1001,0)</f>
        <v>Faber Eilhart</v>
      </c>
      <c r="G37" s="2" t="str">
        <f>IF(_xlfn.XLOOKUP(C37,customers!$A$1:$A$1001,customers!$C$1:$C$1001,0)=0,"",_xlfn.XLOOKUP(C37,customers!$A$1:$A$1001,customers!$C$1:$C$1001))</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6">
        <f>INDEX(products!$A$1:$G$49,MATCH(orders!$D37,products!$A$1:$A$49,0),MATCH(orders!L$1,products!$A$1:$G$1,0))</f>
        <v>5.97</v>
      </c>
      <c r="M37" s="6">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cm="1">
        <f t="array" ref="F38">_xlfn.XLOOKUP(C38,customers!A$1:$A$1001,customers!$B$1:$B$1001,0)</f>
        <v>Zorina Ponting</v>
      </c>
      <c r="G38" s="2" t="str">
        <f>IF(_xlfn.XLOOKUP(C38,customers!$A$1:$A$1001,customers!$C$1:$C$1001,0)=0,"",_xlfn.XLOOKUP(C38,customers!$A$1:$A$1001,customers!$C$1:$C$1001))</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6">
        <f>INDEX(products!$A$1:$G$49,MATCH(orders!$D38,products!$A$1:$A$49,0),MATCH(orders!L$1,products!$A$1:$G$1,0))</f>
        <v>4.3650000000000002</v>
      </c>
      <c r="M38" s="6">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cm="1">
        <f t="array" ref="F39">_xlfn.XLOOKUP(C39,customers!A$1:$A$1001,customers!$B$1:$B$1001,0)</f>
        <v>Silvio Strase</v>
      </c>
      <c r="G39" s="2" t="str">
        <f>IF(_xlfn.XLOOKUP(C39,customers!$A$1:$A$1001,customers!$C$1:$C$1001,0)=0,"",_xlfn.XLOOKUP(C39,customers!$A$1:$A$1001,customers!$C$1:$C$1001))</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6">
        <f>INDEX(products!$A$1:$G$49,MATCH(orders!$D39,products!$A$1:$A$49,0),MATCH(orders!L$1,products!$A$1:$G$1,0))</f>
        <v>9.51</v>
      </c>
      <c r="M39" s="6">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cm="1">
        <f t="array" ref="F40">_xlfn.XLOOKUP(C40,customers!A$1:$A$1001,customers!$B$1:$B$1001,0)</f>
        <v>Dorie de la Tremoille</v>
      </c>
      <c r="G40" s="2" t="str">
        <f>IF(_xlfn.XLOOKUP(C40,customers!$A$1:$A$1001,customers!$C$1:$C$1001,0)=0,"",_xlfn.XLOOKUP(C40,customers!$A$1:$A$1001,customers!$C$1:$C$1001))</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6">
        <f>INDEX(products!$A$1:$G$49,MATCH(orders!$D40,products!$A$1:$A$49,0),MATCH(orders!L$1,products!$A$1:$G$1,0))</f>
        <v>22.884999999999998</v>
      </c>
      <c r="M40" s="6">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cm="1">
        <f t="array" ref="F41">_xlfn.XLOOKUP(C41,customers!A$1:$A$1001,customers!$B$1:$B$1001,0)</f>
        <v>Hy Zanetto</v>
      </c>
      <c r="G41" s="2" t="str">
        <f>IF(_xlfn.XLOOKUP(C41,customers!$A$1:$A$1001,customers!$C$1:$C$1001,0)=0,"",_xlfn.XLOOKUP(C41,customers!$A$1:$A$1001,customers!$C$1:$C$1001))</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6">
        <f>INDEX(products!$A$1:$G$49,MATCH(orders!$D41,products!$A$1:$A$49,0),MATCH(orders!L$1,products!$A$1:$G$1,0))</f>
        <v>9.9499999999999993</v>
      </c>
      <c r="M41" s="6">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cm="1">
        <f t="array" ref="F42">_xlfn.XLOOKUP(C42,customers!A$1:$A$1001,customers!$B$1:$B$1001,0)</f>
        <v>Jessica McNess</v>
      </c>
      <c r="G42" s="2" t="str">
        <f>IF(_xlfn.XLOOKUP(C42,customers!$A$1:$A$1001,customers!$C$1:$C$1001,0)=0,"",_xlfn.XLOOKUP(C42,customers!$A$1:$A$1001,customers!$C$1:$C$1001))</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6">
        <f>INDEX(products!$A$1:$G$49,MATCH(orders!$D42,products!$A$1:$A$49,0),MATCH(orders!L$1,products!$A$1:$G$1,0))</f>
        <v>14.55</v>
      </c>
      <c r="M42" s="6">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cm="1">
        <f t="array" ref="F43">_xlfn.XLOOKUP(C43,customers!A$1:$A$1001,customers!$B$1:$B$1001,0)</f>
        <v>Lorenzo Yeoland</v>
      </c>
      <c r="G43" s="2" t="str">
        <f>IF(_xlfn.XLOOKUP(C43,customers!$A$1:$A$1001,customers!$C$1:$C$1001,0)=0,"",_xlfn.XLOOKUP(C43,customers!$A$1:$A$1001,customers!$C$1:$C$1001))</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6">
        <f>INDEX(products!$A$1:$G$49,MATCH(orders!$D43,products!$A$1:$A$49,0),MATCH(orders!L$1,products!$A$1:$G$1,0))</f>
        <v>3.645</v>
      </c>
      <c r="M43" s="6">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cm="1">
        <f t="array" ref="F44">_xlfn.XLOOKUP(C44,customers!A$1:$A$1001,customers!$B$1:$B$1001,0)</f>
        <v>Abigail Tolworthy</v>
      </c>
      <c r="G44" s="2" t="str">
        <f>IF(_xlfn.XLOOKUP(C44,customers!$A$1:$A$1001,customers!$C$1:$C$1001,0)=0,"",_xlfn.XLOOKUP(C44,customers!$A$1:$A$1001,customers!$C$1:$C$1001))</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6">
        <f>INDEX(products!$A$1:$G$49,MATCH(orders!$D44,products!$A$1:$A$49,0),MATCH(orders!L$1,products!$A$1:$G$1,0))</f>
        <v>2.6849999999999996</v>
      </c>
      <c r="M44" s="6">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cm="1">
        <f t="array" ref="F45">_xlfn.XLOOKUP(C45,customers!A$1:$A$1001,customers!$B$1:$B$1001,0)</f>
        <v>Maurie Bartol</v>
      </c>
      <c r="G45" s="2" t="str">
        <f>IF(_xlfn.XLOOKUP(C45,customers!$A$1:$A$1001,customers!$C$1:$C$1001,0)=0,"",_xlfn.XLOOKUP(C45,customers!$A$1:$A$1001,customers!$C$1:$C$1001))</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6">
        <f>INDEX(products!$A$1:$G$49,MATCH(orders!$D45,products!$A$1:$A$49,0),MATCH(orders!L$1,products!$A$1:$G$1,0))</f>
        <v>36.454999999999998</v>
      </c>
      <c r="M45" s="6">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cm="1">
        <f t="array" ref="F46">_xlfn.XLOOKUP(C46,customers!A$1:$A$1001,customers!$B$1:$B$1001,0)</f>
        <v>Olag Baudassi</v>
      </c>
      <c r="G46" s="2" t="str">
        <f>IF(_xlfn.XLOOKUP(C46,customers!$A$1:$A$1001,customers!$C$1:$C$1001,0)=0,"",_xlfn.XLOOKUP(C46,customers!$A$1:$A$1001,customers!$C$1:$C$1001))</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6">
        <f>INDEX(products!$A$1:$G$49,MATCH(orders!$D46,products!$A$1:$A$49,0),MATCH(orders!L$1,products!$A$1:$G$1,0))</f>
        <v>8.25</v>
      </c>
      <c r="M46" s="6">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cm="1">
        <f t="array" ref="F47">_xlfn.XLOOKUP(C47,customers!A$1:$A$1001,customers!$B$1:$B$1001,0)</f>
        <v>Petey Kingsbury</v>
      </c>
      <c r="G47" s="2" t="str">
        <f>IF(_xlfn.XLOOKUP(C47,customers!$A$1:$A$1001,customers!$C$1:$C$1001,0)=0,"",_xlfn.XLOOKUP(C47,customers!$A$1:$A$1001,customers!$C$1:$C$1001))</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6">
        <f>INDEX(products!$A$1:$G$49,MATCH(orders!$D47,products!$A$1:$A$49,0),MATCH(orders!L$1,products!$A$1:$G$1,0))</f>
        <v>29.784999999999997</v>
      </c>
      <c r="M47" s="6">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cm="1">
        <f t="array" ref="F48">_xlfn.XLOOKUP(C48,customers!A$1:$A$1001,customers!$B$1:$B$1001,0)</f>
        <v>Donna Baskeyfied</v>
      </c>
      <c r="G48" s="2" t="str">
        <f>IF(_xlfn.XLOOKUP(C48,customers!$A$1:$A$1001,customers!$C$1:$C$1001,0)=0,"",_xlfn.XLOOKUP(C48,customers!$A$1:$A$1001,customers!$C$1:$C$1001))</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6">
        <f>INDEX(products!$A$1:$G$49,MATCH(orders!$D48,products!$A$1:$A$49,0),MATCH(orders!L$1,products!$A$1:$G$1,0))</f>
        <v>31.624999999999996</v>
      </c>
      <c r="M48" s="6">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cm="1">
        <f t="array" ref="F49">_xlfn.XLOOKUP(C49,customers!A$1:$A$1001,customers!$B$1:$B$1001,0)</f>
        <v>Arda Curley</v>
      </c>
      <c r="G49" s="2" t="str">
        <f>IF(_xlfn.XLOOKUP(C49,customers!$A$1:$A$1001,customers!$C$1:$C$1001,0)=0,"",_xlfn.XLOOKUP(C49,customers!$A$1:$A$1001,customers!$C$1:$C$1001))</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6">
        <f>INDEX(products!$A$1:$G$49,MATCH(orders!$D49,products!$A$1:$A$49,0),MATCH(orders!L$1,products!$A$1:$G$1,0))</f>
        <v>3.8849999999999998</v>
      </c>
      <c r="M49" s="6">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cm="1">
        <f t="array" ref="F50">_xlfn.XLOOKUP(C50,customers!A$1:$A$1001,customers!$B$1:$B$1001,0)</f>
        <v>Raynor McGilvary</v>
      </c>
      <c r="G50" s="2" t="str">
        <f>IF(_xlfn.XLOOKUP(C50,customers!$A$1:$A$1001,customers!$C$1:$C$1001,0)=0,"",_xlfn.XLOOKUP(C50,customers!$A$1:$A$1001,customers!$C$1:$C$1001))</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6">
        <f>INDEX(products!$A$1:$G$49,MATCH(orders!$D50,products!$A$1:$A$49,0),MATCH(orders!L$1,products!$A$1:$G$1,0))</f>
        <v>22.884999999999998</v>
      </c>
      <c r="M50" s="6">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cm="1">
        <f t="array" ref="F51">_xlfn.XLOOKUP(C51,customers!A$1:$A$1001,customers!$B$1:$B$1001,0)</f>
        <v>Isis Pikett</v>
      </c>
      <c r="G51" s="2" t="str">
        <f>IF(_xlfn.XLOOKUP(C51,customers!$A$1:$A$1001,customers!$C$1:$C$1001,0)=0,"",_xlfn.XLOOKUP(C51,customers!$A$1:$A$1001,customers!$C$1:$C$1001))</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6">
        <f>INDEX(products!$A$1:$G$49,MATCH(orders!$D51,products!$A$1:$A$49,0),MATCH(orders!L$1,products!$A$1:$G$1,0))</f>
        <v>12.95</v>
      </c>
      <c r="M51" s="6">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cm="1">
        <f t="array" ref="F52">_xlfn.XLOOKUP(C52,customers!A$1:$A$1001,customers!$B$1:$B$1001,0)</f>
        <v>Inger Bouldon</v>
      </c>
      <c r="G52" s="2" t="str">
        <f>IF(_xlfn.XLOOKUP(C52,customers!$A$1:$A$1001,customers!$C$1:$C$1001,0)=0,"",_xlfn.XLOOKUP(C52,customers!$A$1:$A$1001,customers!$C$1:$C$1001))</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6">
        <f>INDEX(products!$A$1:$G$49,MATCH(orders!$D52,products!$A$1:$A$49,0),MATCH(orders!L$1,products!$A$1:$G$1,0))</f>
        <v>7.77</v>
      </c>
      <c r="M52" s="6">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cm="1">
        <f t="array" ref="F53">_xlfn.XLOOKUP(C53,customers!A$1:$A$1001,customers!$B$1:$B$1001,0)</f>
        <v>Karry Flanders</v>
      </c>
      <c r="G53" s="2" t="str">
        <f>IF(_xlfn.XLOOKUP(C53,customers!$A$1:$A$1001,customers!$C$1:$C$1001,0)=0,"",_xlfn.XLOOKUP(C53,customers!$A$1:$A$1001,customers!$C$1:$C$1001))</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6">
        <f>INDEX(products!$A$1:$G$49,MATCH(orders!$D53,products!$A$1:$A$49,0),MATCH(orders!L$1,products!$A$1:$G$1,0))</f>
        <v>36.454999999999998</v>
      </c>
      <c r="M53" s="6">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cm="1">
        <f t="array" ref="F54">_xlfn.XLOOKUP(C54,customers!A$1:$A$1001,customers!$B$1:$B$1001,0)</f>
        <v>Hartley Mattioli</v>
      </c>
      <c r="G54" s="2" t="str">
        <f>IF(_xlfn.XLOOKUP(C54,customers!$A$1:$A$1001,customers!$C$1:$C$1001,0)=0,"",_xlfn.XLOOKUP(C54,customers!$A$1:$A$1001,customers!$C$1:$C$1001))</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6">
        <f>INDEX(products!$A$1:$G$49,MATCH(orders!$D54,products!$A$1:$A$49,0),MATCH(orders!L$1,products!$A$1:$G$1,0))</f>
        <v>5.97</v>
      </c>
      <c r="M54" s="6">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cm="1">
        <f t="array" ref="F55">_xlfn.XLOOKUP(C55,customers!A$1:$A$1001,customers!$B$1:$B$1001,0)</f>
        <v>Hartley Mattioli</v>
      </c>
      <c r="G55" s="2" t="str">
        <f>IF(_xlfn.XLOOKUP(C55,customers!$A$1:$A$1001,customers!$C$1:$C$1001,0)=0,"",_xlfn.XLOOKUP(C55,customers!$A$1:$A$1001,customers!$C$1:$C$1001))</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6">
        <f>INDEX(products!$A$1:$G$49,MATCH(orders!$D55,products!$A$1:$A$49,0),MATCH(orders!L$1,products!$A$1:$G$1,0))</f>
        <v>36.454999999999998</v>
      </c>
      <c r="M55" s="6">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cm="1">
        <f t="array" ref="F56">_xlfn.XLOOKUP(C56,customers!A$1:$A$1001,customers!$B$1:$B$1001,0)</f>
        <v>Archambault Gillard</v>
      </c>
      <c r="G56" s="2" t="str">
        <f>IF(_xlfn.XLOOKUP(C56,customers!$A$1:$A$1001,customers!$C$1:$C$1001,0)=0,"",_xlfn.XLOOKUP(C56,customers!$A$1:$A$1001,customers!$C$1:$C$1001))</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6">
        <f>INDEX(products!$A$1:$G$49,MATCH(orders!$D56,products!$A$1:$A$49,0),MATCH(orders!L$1,products!$A$1:$G$1,0))</f>
        <v>14.55</v>
      </c>
      <c r="M56" s="6">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cm="1">
        <f t="array" ref="F57">_xlfn.XLOOKUP(C57,customers!A$1:$A$1001,customers!$B$1:$B$1001,0)</f>
        <v>Salomo Cushworth</v>
      </c>
      <c r="G57" s="2" t="str">
        <f>IF(_xlfn.XLOOKUP(C57,customers!$A$1:$A$1001,customers!$C$1:$C$1001,0)=0,"",_xlfn.XLOOKUP(C57,customers!$A$1:$A$1001,customers!$C$1:$C$1001))</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6">
        <f>INDEX(products!$A$1:$G$49,MATCH(orders!$D57,products!$A$1:$A$49,0),MATCH(orders!L$1,products!$A$1:$G$1,0))</f>
        <v>15.85</v>
      </c>
      <c r="M57" s="6">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cm="1">
        <f t="array" ref="F58">_xlfn.XLOOKUP(C58,customers!A$1:$A$1001,customers!$B$1:$B$1001,0)</f>
        <v>Theda Grizard</v>
      </c>
      <c r="G58" s="2" t="str">
        <f>IF(_xlfn.XLOOKUP(C58,customers!$A$1:$A$1001,customers!$C$1:$C$1001,0)=0,"",_xlfn.XLOOKUP(C58,customers!$A$1:$A$1001,customers!$C$1:$C$1001))</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6">
        <f>INDEX(products!$A$1:$G$49,MATCH(orders!$D58,products!$A$1:$A$49,0),MATCH(orders!L$1,products!$A$1:$G$1,0))</f>
        <v>3.645</v>
      </c>
      <c r="M58" s="6">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cm="1">
        <f t="array" ref="F59">_xlfn.XLOOKUP(C59,customers!A$1:$A$1001,customers!$B$1:$B$1001,0)</f>
        <v>Rozele Relton</v>
      </c>
      <c r="G59" s="2" t="str">
        <f>IF(_xlfn.XLOOKUP(C59,customers!$A$1:$A$1001,customers!$C$1:$C$1001,0)=0,"",_xlfn.XLOOKUP(C59,customers!$A$1:$A$1001,customers!$C$1:$C$1001))</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6">
        <f>INDEX(products!$A$1:$G$49,MATCH(orders!$D59,products!$A$1:$A$49,0),MATCH(orders!L$1,products!$A$1:$G$1,0))</f>
        <v>14.85</v>
      </c>
      <c r="M59" s="6">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cm="1">
        <f t="array" ref="F60">_xlfn.XLOOKUP(C60,customers!A$1:$A$1001,customers!$B$1:$B$1001,0)</f>
        <v>Willa Rolling</v>
      </c>
      <c r="G60" s="2" t="str">
        <f>IF(_xlfn.XLOOKUP(C60,customers!$A$1:$A$1001,customers!$C$1:$C$1001,0)=0,"",_xlfn.XLOOKUP(C60,customers!$A$1:$A$1001,customers!$C$1:$C$1001))</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6">
        <f>INDEX(products!$A$1:$G$49,MATCH(orders!$D60,products!$A$1:$A$49,0),MATCH(orders!L$1,products!$A$1:$G$1,0))</f>
        <v>29.784999999999997</v>
      </c>
      <c r="M60" s="6">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cm="1">
        <f t="array" ref="F61">_xlfn.XLOOKUP(C61,customers!A$1:$A$1001,customers!$B$1:$B$1001,0)</f>
        <v>Stanislaus Gilroy</v>
      </c>
      <c r="G61" s="2" t="str">
        <f>IF(_xlfn.XLOOKUP(C61,customers!$A$1:$A$1001,customers!$C$1:$C$1001,0)=0,"",_xlfn.XLOOKUP(C61,customers!$A$1:$A$1001,customers!$C$1:$C$1001))</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6">
        <f>INDEX(products!$A$1:$G$49,MATCH(orders!$D61,products!$A$1:$A$49,0),MATCH(orders!L$1,products!$A$1:$G$1,0))</f>
        <v>8.73</v>
      </c>
      <c r="M61" s="6">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cm="1">
        <f t="array" ref="F62">_xlfn.XLOOKUP(C62,customers!A$1:$A$1001,customers!$B$1:$B$1001,0)</f>
        <v>Correy Cottingham</v>
      </c>
      <c r="G62" s="2" t="str">
        <f>IF(_xlfn.XLOOKUP(C62,customers!$A$1:$A$1001,customers!$C$1:$C$1001,0)=0,"",_xlfn.XLOOKUP(C62,customers!$A$1:$A$1001,customers!$C$1:$C$1001))</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6">
        <f>INDEX(products!$A$1:$G$49,MATCH(orders!$D62,products!$A$1:$A$49,0),MATCH(orders!L$1,products!$A$1:$G$1,0))</f>
        <v>22.884999999999998</v>
      </c>
      <c r="M62" s="6">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cm="1">
        <f t="array" ref="F63">_xlfn.XLOOKUP(C63,customers!A$1:$A$1001,customers!$B$1:$B$1001,0)</f>
        <v>Pammi Endacott</v>
      </c>
      <c r="G63" s="2" t="str">
        <f>IF(_xlfn.XLOOKUP(C63,customers!$A$1:$A$1001,customers!$C$1:$C$1001,0)=0,"",_xlfn.XLOOKUP(C63,customers!$A$1:$A$1001,customers!$C$1:$C$1001))</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6">
        <f>INDEX(products!$A$1:$G$49,MATCH(orders!$D63,products!$A$1:$A$49,0),MATCH(orders!L$1,products!$A$1:$G$1,0))</f>
        <v>5.3699999999999992</v>
      </c>
      <c r="M63" s="6">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cm="1">
        <f t="array" ref="F64">_xlfn.XLOOKUP(C64,customers!A$1:$A$1001,customers!$B$1:$B$1001,0)</f>
        <v>Nona Linklater</v>
      </c>
      <c r="G64" s="2" t="str">
        <f>IF(_xlfn.XLOOKUP(C64,customers!$A$1:$A$1001,customers!$C$1:$C$1001,0)=0,"",_xlfn.XLOOKUP(C64,customers!$A$1:$A$1001,customers!$C$1:$C$1001))</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6">
        <f>INDEX(products!$A$1:$G$49,MATCH(orders!$D64,products!$A$1:$A$49,0),MATCH(orders!L$1,products!$A$1:$G$1,0))</f>
        <v>4.7549999999999999</v>
      </c>
      <c r="M64" s="6">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cm="1">
        <f t="array" ref="F65">_xlfn.XLOOKUP(C65,customers!A$1:$A$1001,customers!$B$1:$B$1001,0)</f>
        <v>Annadiane Dykes</v>
      </c>
      <c r="G65" s="2" t="str">
        <f>IF(_xlfn.XLOOKUP(C65,customers!$A$1:$A$1001,customers!$C$1:$C$1001,0)=0,"",_xlfn.XLOOKUP(C65,customers!$A$1:$A$1001,customers!$C$1:$C$1001))</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6">
        <f>INDEX(products!$A$1:$G$49,MATCH(orders!$D65,products!$A$1:$A$49,0),MATCH(orders!L$1,products!$A$1:$G$1,0))</f>
        <v>6.75</v>
      </c>
      <c r="M65" s="6">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cm="1">
        <f t="array" ref="F66">_xlfn.XLOOKUP(C66,customers!A$1:$A$1001,customers!$B$1:$B$1001,0)</f>
        <v>Felecia Dodgson</v>
      </c>
      <c r="G66" s="2" t="str">
        <f>IF(_xlfn.XLOOKUP(C66,customers!$A$1:$A$1001,customers!$C$1:$C$1001,0)=0,"",_xlfn.XLOOKUP(C66,customers!$A$1:$A$1001,customers!$C$1:$C$1001))</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6">
        <f>INDEX(products!$A$1:$G$49,MATCH(orders!$D66,products!$A$1:$A$49,0),MATCH(orders!L$1,products!$A$1:$G$1,0))</f>
        <v>5.97</v>
      </c>
      <c r="M66" s="6">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cm="1">
        <f t="array" ref="F67">_xlfn.XLOOKUP(C67,customers!A$1:$A$1001,customers!$B$1:$B$1001,0)</f>
        <v>Angelia Cockrem</v>
      </c>
      <c r="G67" s="2" t="str">
        <f>IF(_xlfn.XLOOKUP(C67,customers!$A$1:$A$1001,customers!$C$1:$C$1001,0)=0,"",_xlfn.XLOOKUP(C67,customers!$A$1:$A$1001,customers!$C$1:$C$1001))</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6">
        <f>INDEX(products!$A$1:$G$49,MATCH(orders!$D67,products!$A$1:$A$49,0),MATCH(orders!L$1,products!$A$1:$G$1,0))</f>
        <v>20.584999999999997</v>
      </c>
      <c r="M67" s="6">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cm="1">
        <f t="array" ref="F68">_xlfn.XLOOKUP(C68,customers!A$1:$A$1001,customers!$B$1:$B$1001,0)</f>
        <v>Belvia Umpleby</v>
      </c>
      <c r="G68" s="2" t="str">
        <f>IF(_xlfn.XLOOKUP(C68,customers!$A$1:$A$1001,customers!$C$1:$C$1001,0)=0,"",_xlfn.XLOOKUP(C68,customers!$A$1:$A$1001,customers!$C$1:$C$1001))</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6">
        <f>INDEX(products!$A$1:$G$49,MATCH(orders!$D68,products!$A$1:$A$49,0),MATCH(orders!L$1,products!$A$1:$G$1,0))</f>
        <v>7.169999999999999</v>
      </c>
      <c r="M68" s="6">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cm="1">
        <f t="array" ref="F69">_xlfn.XLOOKUP(C69,customers!A$1:$A$1001,customers!$B$1:$B$1001,0)</f>
        <v>Nat Saleway</v>
      </c>
      <c r="G69" s="2" t="str">
        <f>IF(_xlfn.XLOOKUP(C69,customers!$A$1:$A$1001,customers!$C$1:$C$1001,0)=0,"",_xlfn.XLOOKUP(C69,customers!$A$1:$A$1001,customers!$C$1:$C$1001))</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6">
        <f>INDEX(products!$A$1:$G$49,MATCH(orders!$D69,products!$A$1:$A$49,0),MATCH(orders!L$1,products!$A$1:$G$1,0))</f>
        <v>4.7549999999999999</v>
      </c>
      <c r="M69" s="6">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cm="1">
        <f t="array" ref="F70">_xlfn.XLOOKUP(C70,customers!A$1:$A$1001,customers!$B$1:$B$1001,0)</f>
        <v>Hayward Goulter</v>
      </c>
      <c r="G70" s="2" t="str">
        <f>IF(_xlfn.XLOOKUP(C70,customers!$A$1:$A$1001,customers!$C$1:$C$1001,0)=0,"",_xlfn.XLOOKUP(C70,customers!$A$1:$A$1001,customers!$C$1:$C$1001))</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6">
        <f>INDEX(products!$A$1:$G$49,MATCH(orders!$D70,products!$A$1:$A$49,0),MATCH(orders!L$1,products!$A$1:$G$1,0))</f>
        <v>2.9849999999999999</v>
      </c>
      <c r="M70" s="6">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cm="1">
        <f t="array" ref="F71">_xlfn.XLOOKUP(C71,customers!A$1:$A$1001,customers!$B$1:$B$1001,0)</f>
        <v>Gay Rizzello</v>
      </c>
      <c r="G71" s="2" t="str">
        <f>IF(_xlfn.XLOOKUP(C71,customers!$A$1:$A$1001,customers!$C$1:$C$1001,0)=0,"",_xlfn.XLOOKUP(C71,customers!$A$1:$A$1001,customers!$C$1:$C$1001))</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6">
        <f>INDEX(products!$A$1:$G$49,MATCH(orders!$D71,products!$A$1:$A$49,0),MATCH(orders!L$1,products!$A$1:$G$1,0))</f>
        <v>9.9499999999999993</v>
      </c>
      <c r="M71" s="6">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cm="1">
        <f t="array" ref="F72">_xlfn.XLOOKUP(C72,customers!A$1:$A$1001,customers!$B$1:$B$1001,0)</f>
        <v>Shannon List</v>
      </c>
      <c r="G72" s="2" t="str">
        <f>IF(_xlfn.XLOOKUP(C72,customers!$A$1:$A$1001,customers!$C$1:$C$1001,0)=0,"",_xlfn.XLOOKUP(C72,customers!$A$1:$A$1001,customers!$C$1:$C$1001))</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6">
        <f>INDEX(products!$A$1:$G$49,MATCH(orders!$D72,products!$A$1:$A$49,0),MATCH(orders!L$1,products!$A$1:$G$1,0))</f>
        <v>34.154999999999994</v>
      </c>
      <c r="M72" s="6">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cm="1">
        <f t="array" ref="F73">_xlfn.XLOOKUP(C73,customers!A$1:$A$1001,customers!$B$1:$B$1001,0)</f>
        <v>Shirlene Edmondson</v>
      </c>
      <c r="G73" s="2" t="str">
        <f>IF(_xlfn.XLOOKUP(C73,customers!$A$1:$A$1001,customers!$C$1:$C$1001,0)=0,"",_xlfn.XLOOKUP(C73,customers!$A$1:$A$1001,customers!$C$1:$C$1001))</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6">
        <f>INDEX(products!$A$1:$G$49,MATCH(orders!$D73,products!$A$1:$A$49,0),MATCH(orders!L$1,products!$A$1:$G$1,0))</f>
        <v>4.7549999999999999</v>
      </c>
      <c r="M73" s="6">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cm="1">
        <f t="array" ref="F74">_xlfn.XLOOKUP(C74,customers!A$1:$A$1001,customers!$B$1:$B$1001,0)</f>
        <v>Aurlie McCarl</v>
      </c>
      <c r="G74" s="2" t="str">
        <f>IF(_xlfn.XLOOKUP(C74,customers!$A$1:$A$1001,customers!$C$1:$C$1001,0)=0,"",_xlfn.XLOOKUP(C74,customers!$A$1:$A$1001,customers!$C$1:$C$1001))</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6">
        <f>INDEX(products!$A$1:$G$49,MATCH(orders!$D74,products!$A$1:$A$49,0),MATCH(orders!L$1,products!$A$1:$G$1,0))</f>
        <v>25.874999999999996</v>
      </c>
      <c r="M74" s="6">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cm="1">
        <f t="array" ref="F75">_xlfn.XLOOKUP(C75,customers!A$1:$A$1001,customers!$B$1:$B$1001,0)</f>
        <v>Alikee Carryer</v>
      </c>
      <c r="G75" s="2" t="str">
        <f>IF(_xlfn.XLOOKUP(C75,customers!$A$1:$A$1001,customers!$C$1:$C$1001,0)=0,"",_xlfn.XLOOKUP(C75,customers!$A$1:$A$1001,customers!$C$1:$C$1001))</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6">
        <f>INDEX(products!$A$1:$G$49,MATCH(orders!$D75,products!$A$1:$A$49,0),MATCH(orders!L$1,products!$A$1:$G$1,0))</f>
        <v>4.3650000000000002</v>
      </c>
      <c r="M75" s="6">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cm="1">
        <f t="array" ref="F76">_xlfn.XLOOKUP(C76,customers!A$1:$A$1001,customers!$B$1:$B$1001,0)</f>
        <v>Jennifer Rangall</v>
      </c>
      <c r="G76" s="2" t="str">
        <f>IF(_xlfn.XLOOKUP(C76,customers!$A$1:$A$1001,customers!$C$1:$C$1001,0)=0,"",_xlfn.XLOOKUP(C76,customers!$A$1:$A$1001,customers!$C$1:$C$1001))</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6">
        <f>INDEX(products!$A$1:$G$49,MATCH(orders!$D76,products!$A$1:$A$49,0),MATCH(orders!L$1,products!$A$1:$G$1,0))</f>
        <v>8.91</v>
      </c>
      <c r="M76" s="6">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cm="1">
        <f t="array" ref="F77">_xlfn.XLOOKUP(C77,customers!A$1:$A$1001,customers!$B$1:$B$1001,0)</f>
        <v>Kipper Boorn</v>
      </c>
      <c r="G77" s="2" t="str">
        <f>IF(_xlfn.XLOOKUP(C77,customers!$A$1:$A$1001,customers!$C$1:$C$1001,0)=0,"",_xlfn.XLOOKUP(C77,customers!$A$1:$A$1001,customers!$C$1:$C$1001))</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6">
        <f>INDEX(products!$A$1:$G$49,MATCH(orders!$D77,products!$A$1:$A$49,0),MATCH(orders!L$1,products!$A$1:$G$1,0))</f>
        <v>8.9499999999999993</v>
      </c>
      <c r="M77" s="6">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cm="1">
        <f t="array" ref="F78">_xlfn.XLOOKUP(C78,customers!A$1:$A$1001,customers!$B$1:$B$1001,0)</f>
        <v>Melania Beadle</v>
      </c>
      <c r="G78" s="2" t="str">
        <f>IF(_xlfn.XLOOKUP(C78,customers!$A$1:$A$1001,customers!$C$1:$C$1001,0)=0,"",_xlfn.XLOOKUP(C78,customers!$A$1:$A$1001,customers!$C$1:$C$1001))</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6">
        <f>INDEX(products!$A$1:$G$49,MATCH(orders!$D78,products!$A$1:$A$49,0),MATCH(orders!L$1,products!$A$1:$G$1,0))</f>
        <v>3.5849999999999995</v>
      </c>
      <c r="M78" s="6">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cm="1">
        <f t="array" ref="F79">_xlfn.XLOOKUP(C79,customers!A$1:$A$1001,customers!$B$1:$B$1001,0)</f>
        <v>Colene Elgey</v>
      </c>
      <c r="G79" s="2" t="str">
        <f>IF(_xlfn.XLOOKUP(C79,customers!$A$1:$A$1001,customers!$C$1:$C$1001,0)=0,"",_xlfn.XLOOKUP(C79,customers!$A$1:$A$1001,customers!$C$1:$C$1001))</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6">
        <f>INDEX(products!$A$1:$G$49,MATCH(orders!$D79,products!$A$1:$A$49,0),MATCH(orders!L$1,products!$A$1:$G$1,0))</f>
        <v>3.645</v>
      </c>
      <c r="M79" s="6">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cm="1">
        <f t="array" ref="F80">_xlfn.XLOOKUP(C80,customers!A$1:$A$1001,customers!$B$1:$B$1001,0)</f>
        <v>Lothaire Mizzi</v>
      </c>
      <c r="G80" s="2" t="str">
        <f>IF(_xlfn.XLOOKUP(C80,customers!$A$1:$A$1001,customers!$C$1:$C$1001,0)=0,"",_xlfn.XLOOKUP(C80,customers!$A$1:$A$1001,customers!$C$1:$C$1001))</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6">
        <f>INDEX(products!$A$1:$G$49,MATCH(orders!$D80,products!$A$1:$A$49,0),MATCH(orders!L$1,products!$A$1:$G$1,0))</f>
        <v>6.75</v>
      </c>
      <c r="M80" s="6">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cm="1">
        <f t="array" ref="F81">_xlfn.XLOOKUP(C81,customers!A$1:$A$1001,customers!$B$1:$B$1001,0)</f>
        <v>Cletis Giacomazzo</v>
      </c>
      <c r="G81" s="2" t="str">
        <f>IF(_xlfn.XLOOKUP(C81,customers!$A$1:$A$1001,customers!$C$1:$C$1001,0)=0,"",_xlfn.XLOOKUP(C81,customers!$A$1:$A$1001,customers!$C$1:$C$1001))</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6">
        <f>INDEX(products!$A$1:$G$49,MATCH(orders!$D81,products!$A$1:$A$49,0),MATCH(orders!L$1,products!$A$1:$G$1,0))</f>
        <v>11.95</v>
      </c>
      <c r="M81" s="6">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cm="1">
        <f t="array" ref="F82">_xlfn.XLOOKUP(C82,customers!A$1:$A$1001,customers!$B$1:$B$1001,0)</f>
        <v>Ami Arnow</v>
      </c>
      <c r="G82" s="2" t="str">
        <f>IF(_xlfn.XLOOKUP(C82,customers!$A$1:$A$1001,customers!$C$1:$C$1001,0)=0,"",_xlfn.XLOOKUP(C82,customers!$A$1:$A$1001,customers!$C$1:$C$1001))</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6">
        <f>INDEX(products!$A$1:$G$49,MATCH(orders!$D82,products!$A$1:$A$49,0),MATCH(orders!L$1,products!$A$1:$G$1,0))</f>
        <v>7.77</v>
      </c>
      <c r="M82" s="6">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cm="1">
        <f t="array" ref="F83">_xlfn.XLOOKUP(C83,customers!A$1:$A$1001,customers!$B$1:$B$1001,0)</f>
        <v>Sheppard Yann</v>
      </c>
      <c r="G83" s="2" t="str">
        <f>IF(_xlfn.XLOOKUP(C83,customers!$A$1:$A$1001,customers!$C$1:$C$1001,0)=0,"",_xlfn.XLOOKUP(C83,customers!$A$1:$A$1001,customers!$C$1:$C$1001))</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6">
        <f>INDEX(products!$A$1:$G$49,MATCH(orders!$D83,products!$A$1:$A$49,0),MATCH(orders!L$1,products!$A$1:$G$1,0))</f>
        <v>36.454999999999998</v>
      </c>
      <c r="M83" s="6">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cm="1">
        <f t="array" ref="F84">_xlfn.XLOOKUP(C84,customers!A$1:$A$1001,customers!$B$1:$B$1001,0)</f>
        <v>Bunny Naulls</v>
      </c>
      <c r="G84" s="2" t="str">
        <f>IF(_xlfn.XLOOKUP(C84,customers!$A$1:$A$1001,customers!$C$1:$C$1001,0)=0,"",_xlfn.XLOOKUP(C84,customers!$A$1:$A$1001,customers!$C$1:$C$1001))</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6">
        <f>INDEX(products!$A$1:$G$49,MATCH(orders!$D84,products!$A$1:$A$49,0),MATCH(orders!L$1,products!$A$1:$G$1,0))</f>
        <v>33.464999999999996</v>
      </c>
      <c r="M84" s="6">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cm="1">
        <f t="array" ref="F85">_xlfn.XLOOKUP(C85,customers!A$1:$A$1001,customers!$B$1:$B$1001,0)</f>
        <v>Hally Lorait</v>
      </c>
      <c r="G85" s="2" t="str">
        <f>IF(_xlfn.XLOOKUP(C85,customers!$A$1:$A$1001,customers!$C$1:$C$1001,0)=0,"",_xlfn.XLOOKUP(C85,customers!$A$1:$A$1001,customers!$C$1:$C$1001))</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6">
        <f>INDEX(products!$A$1:$G$49,MATCH(orders!$D85,products!$A$1:$A$49,0),MATCH(orders!L$1,products!$A$1:$G$1,0))</f>
        <v>20.584999999999997</v>
      </c>
      <c r="M85" s="6">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cm="1">
        <f t="array" ref="F86">_xlfn.XLOOKUP(C86,customers!A$1:$A$1001,customers!$B$1:$B$1001,0)</f>
        <v>Zaccaria Sherewood</v>
      </c>
      <c r="G86" s="2" t="str">
        <f>IF(_xlfn.XLOOKUP(C86,customers!$A$1:$A$1001,customers!$C$1:$C$1001,0)=0,"",_xlfn.XLOOKUP(C86,customers!$A$1:$A$1001,customers!$C$1:$C$1001))</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6">
        <f>INDEX(products!$A$1:$G$49,MATCH(orders!$D86,products!$A$1:$A$49,0),MATCH(orders!L$1,products!$A$1:$G$1,0))</f>
        <v>9.51</v>
      </c>
      <c r="M86" s="6">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cm="1">
        <f t="array" ref="F87">_xlfn.XLOOKUP(C87,customers!A$1:$A$1001,customers!$B$1:$B$1001,0)</f>
        <v>Jeffrey Dufaire</v>
      </c>
      <c r="G87" s="2" t="str">
        <f>IF(_xlfn.XLOOKUP(C87,customers!$A$1:$A$1001,customers!$C$1:$C$1001,0)=0,"",_xlfn.XLOOKUP(C87,customers!$A$1:$A$1001,customers!$C$1:$C$1001))</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6">
        <f>INDEX(products!$A$1:$G$49,MATCH(orders!$D87,products!$A$1:$A$49,0),MATCH(orders!L$1,products!$A$1:$G$1,0))</f>
        <v>29.784999999999997</v>
      </c>
      <c r="M87" s="6">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cm="1">
        <f t="array" ref="F88">_xlfn.XLOOKUP(C88,customers!A$1:$A$1001,customers!$B$1:$B$1001,0)</f>
        <v>Jeffrey Dufaire</v>
      </c>
      <c r="G88" s="2" t="str">
        <f>IF(_xlfn.XLOOKUP(C88,customers!$A$1:$A$1001,customers!$C$1:$C$1001,0)=0,"",_xlfn.XLOOKUP(C88,customers!$A$1:$A$1001,customers!$C$1:$C$1001))</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6">
        <f>INDEX(products!$A$1:$G$49,MATCH(orders!$D88,products!$A$1:$A$49,0),MATCH(orders!L$1,products!$A$1:$G$1,0))</f>
        <v>2.9849999999999999</v>
      </c>
      <c r="M88" s="6">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cm="1">
        <f t="array" ref="F89">_xlfn.XLOOKUP(C89,customers!A$1:$A$1001,customers!$B$1:$B$1001,0)</f>
        <v>Beitris Keaveney</v>
      </c>
      <c r="G89" s="2" t="str">
        <f>IF(_xlfn.XLOOKUP(C89,customers!$A$1:$A$1001,customers!$C$1:$C$1001,0)=0,"",_xlfn.XLOOKUP(C89,customers!$A$1:$A$1001,customers!$C$1:$C$1001))</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6">
        <f>INDEX(products!$A$1:$G$49,MATCH(orders!$D89,products!$A$1:$A$49,0),MATCH(orders!L$1,products!$A$1:$G$1,0))</f>
        <v>11.25</v>
      </c>
      <c r="M89" s="6">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cm="1">
        <f t="array" ref="F90">_xlfn.XLOOKUP(C90,customers!A$1:$A$1001,customers!$B$1:$B$1001,0)</f>
        <v>Elna Grise</v>
      </c>
      <c r="G90" s="2" t="str">
        <f>IF(_xlfn.XLOOKUP(C90,customers!$A$1:$A$1001,customers!$C$1:$C$1001,0)=0,"",_xlfn.XLOOKUP(C90,customers!$A$1:$A$1001,customers!$C$1:$C$1001))</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6">
        <f>INDEX(products!$A$1:$G$49,MATCH(orders!$D90,products!$A$1:$A$49,0),MATCH(orders!L$1,products!$A$1:$G$1,0))</f>
        <v>11.95</v>
      </c>
      <c r="M90" s="6">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cm="1">
        <f t="array" ref="F91">_xlfn.XLOOKUP(C91,customers!A$1:$A$1001,customers!$B$1:$B$1001,0)</f>
        <v>Torie Gottelier</v>
      </c>
      <c r="G91" s="2" t="str">
        <f>IF(_xlfn.XLOOKUP(C91,customers!$A$1:$A$1001,customers!$C$1:$C$1001,0)=0,"",_xlfn.XLOOKUP(C91,customers!$A$1:$A$1001,customers!$C$1:$C$1001))</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6">
        <f>INDEX(products!$A$1:$G$49,MATCH(orders!$D91,products!$A$1:$A$49,0),MATCH(orders!L$1,products!$A$1:$G$1,0))</f>
        <v>12.95</v>
      </c>
      <c r="M91" s="6">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cm="1">
        <f t="array" ref="F92">_xlfn.XLOOKUP(C92,customers!A$1:$A$1001,customers!$B$1:$B$1001,0)</f>
        <v>Loydie Langlais</v>
      </c>
      <c r="G92" s="2" t="str">
        <f>IF(_xlfn.XLOOKUP(C92,customers!$A$1:$A$1001,customers!$C$1:$C$1001,0)=0,"",_xlfn.XLOOKUP(C92,customers!$A$1:$A$1001,customers!$C$1:$C$1001))</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6">
        <f>INDEX(products!$A$1:$G$49,MATCH(orders!$D92,products!$A$1:$A$49,0),MATCH(orders!L$1,products!$A$1:$G$1,0))</f>
        <v>12.95</v>
      </c>
      <c r="M92" s="6">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cm="1">
        <f t="array" ref="F93">_xlfn.XLOOKUP(C93,customers!A$1:$A$1001,customers!$B$1:$B$1001,0)</f>
        <v>Adham Greenhead</v>
      </c>
      <c r="G93" s="2" t="str">
        <f>IF(_xlfn.XLOOKUP(C93,customers!$A$1:$A$1001,customers!$C$1:$C$1001,0)=0,"",_xlfn.XLOOKUP(C93,customers!$A$1:$A$1001,customers!$C$1:$C$1001))</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6">
        <f>INDEX(products!$A$1:$G$49,MATCH(orders!$D93,products!$A$1:$A$49,0),MATCH(orders!L$1,products!$A$1:$G$1,0))</f>
        <v>25.874999999999996</v>
      </c>
      <c r="M93" s="6">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cm="1">
        <f t="array" ref="F94">_xlfn.XLOOKUP(C94,customers!A$1:$A$1001,customers!$B$1:$B$1001,0)</f>
        <v>Hamish MacSherry</v>
      </c>
      <c r="G94" s="2" t="str">
        <f>IF(_xlfn.XLOOKUP(C94,customers!$A$1:$A$1001,customers!$C$1:$C$1001,0)=0,"",_xlfn.XLOOKUP(C94,customers!$A$1:$A$1001,customers!$C$1:$C$1001))</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6">
        <f>INDEX(products!$A$1:$G$49,MATCH(orders!$D94,products!$A$1:$A$49,0),MATCH(orders!L$1,products!$A$1:$G$1,0))</f>
        <v>14.85</v>
      </c>
      <c r="M94" s="6">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cm="1">
        <f t="array" ref="F95">_xlfn.XLOOKUP(C95,customers!A$1:$A$1001,customers!$B$1:$B$1001,0)</f>
        <v>Else Langcaster</v>
      </c>
      <c r="G95" s="2" t="str">
        <f>IF(_xlfn.XLOOKUP(C95,customers!$A$1:$A$1001,customers!$C$1:$C$1001,0)=0,"",_xlfn.XLOOKUP(C95,customers!$A$1:$A$1001,customers!$C$1:$C$1001))</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6">
        <f>INDEX(products!$A$1:$G$49,MATCH(orders!$D95,products!$A$1:$A$49,0),MATCH(orders!L$1,products!$A$1:$G$1,0))</f>
        <v>8.91</v>
      </c>
      <c r="M95" s="6">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cm="1">
        <f t="array" ref="F96">_xlfn.XLOOKUP(C96,customers!A$1:$A$1001,customers!$B$1:$B$1001,0)</f>
        <v>Rudy Farquharson</v>
      </c>
      <c r="G96" s="2" t="str">
        <f>IF(_xlfn.XLOOKUP(C96,customers!$A$1:$A$1001,customers!$C$1:$C$1001,0)=0,"",_xlfn.XLOOKUP(C96,customers!$A$1:$A$1001,customers!$C$1:$C$1001))</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6">
        <f>INDEX(products!$A$1:$G$49,MATCH(orders!$D96,products!$A$1:$A$49,0),MATCH(orders!L$1,products!$A$1:$G$1,0))</f>
        <v>2.9849999999999999</v>
      </c>
      <c r="M96" s="6">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cm="1">
        <f t="array" ref="F97">_xlfn.XLOOKUP(C97,customers!A$1:$A$1001,customers!$B$1:$B$1001,0)</f>
        <v>Norene Magauran</v>
      </c>
      <c r="G97" s="2" t="str">
        <f>IF(_xlfn.XLOOKUP(C97,customers!$A$1:$A$1001,customers!$C$1:$C$1001,0)=0,"",_xlfn.XLOOKUP(C97,customers!$A$1:$A$1001,customers!$C$1:$C$1001))</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6">
        <f>INDEX(products!$A$1:$G$49,MATCH(orders!$D97,products!$A$1:$A$49,0),MATCH(orders!L$1,products!$A$1:$G$1,0))</f>
        <v>25.874999999999996</v>
      </c>
      <c r="M97" s="6">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cm="1">
        <f t="array" ref="F98">_xlfn.XLOOKUP(C98,customers!A$1:$A$1001,customers!$B$1:$B$1001,0)</f>
        <v>Vicki Kirdsch</v>
      </c>
      <c r="G98" s="2" t="str">
        <f>IF(_xlfn.XLOOKUP(C98,customers!$A$1:$A$1001,customers!$C$1:$C$1001,0)=0,"",_xlfn.XLOOKUP(C98,customers!$A$1:$A$1001,customers!$C$1:$C$1001))</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6">
        <f>INDEX(products!$A$1:$G$49,MATCH(orders!$D98,products!$A$1:$A$49,0),MATCH(orders!L$1,products!$A$1:$G$1,0))</f>
        <v>2.9849999999999999</v>
      </c>
      <c r="M98" s="6">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cm="1">
        <f t="array" ref="F99">_xlfn.XLOOKUP(C99,customers!A$1:$A$1001,customers!$B$1:$B$1001,0)</f>
        <v>Ilysa Whapple</v>
      </c>
      <c r="G99" s="2" t="str">
        <f>IF(_xlfn.XLOOKUP(C99,customers!$A$1:$A$1001,customers!$C$1:$C$1001,0)=0,"",_xlfn.XLOOKUP(C99,customers!$A$1:$A$1001,customers!$C$1:$C$1001))</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6">
        <f>INDEX(products!$A$1:$G$49,MATCH(orders!$D99,products!$A$1:$A$49,0),MATCH(orders!L$1,products!$A$1:$G$1,0))</f>
        <v>6.75</v>
      </c>
      <c r="M99" s="6">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cm="1">
        <f t="array" ref="F100">_xlfn.XLOOKUP(C100,customers!A$1:$A$1001,customers!$B$1:$B$1001,0)</f>
        <v>Ruy Cancellieri</v>
      </c>
      <c r="G100" s="2" t="str">
        <f>IF(_xlfn.XLOOKUP(C100,customers!$A$1:$A$1001,customers!$C$1:$C$1001,0)=0,"",_xlfn.XLOOKUP(C100,customers!$A$1:$A$1001,customers!$C$1:$C$1001))</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6">
        <f>INDEX(products!$A$1:$G$49,MATCH(orders!$D100,products!$A$1:$A$49,0),MATCH(orders!L$1,products!$A$1:$G$1,0))</f>
        <v>2.9849999999999999</v>
      </c>
      <c r="M100" s="6">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cm="1">
        <f t="array" ref="F101">_xlfn.XLOOKUP(C101,customers!A$1:$A$1001,customers!$B$1:$B$1001,0)</f>
        <v>Aube Follett</v>
      </c>
      <c r="G101" s="2" t="str">
        <f>IF(_xlfn.XLOOKUP(C101,customers!$A$1:$A$1001,customers!$C$1:$C$1001,0)=0,"",_xlfn.XLOOKUP(C101,customers!$A$1:$A$1001,customers!$C$1:$C$1001))</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6">
        <f>INDEX(products!$A$1:$G$49,MATCH(orders!$D101,products!$A$1:$A$49,0),MATCH(orders!L$1,products!$A$1:$G$1,0))</f>
        <v>4.3650000000000002</v>
      </c>
      <c r="M101" s="6">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cm="1">
        <f t="array" ref="F102">_xlfn.XLOOKUP(C102,customers!A$1:$A$1001,customers!$B$1:$B$1001,0)</f>
        <v>Rudiger Di Bartolomeo</v>
      </c>
      <c r="G102" s="2" t="str">
        <f>IF(_xlfn.XLOOKUP(C102,customers!$A$1:$A$1001,customers!$C$1:$C$1001,0)=0,"",_xlfn.XLOOKUP(C102,customers!$A$1:$A$1001,customers!$C$1:$C$1001))</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6">
        <f>INDEX(products!$A$1:$G$49,MATCH(orders!$D102,products!$A$1:$A$49,0),MATCH(orders!L$1,products!$A$1:$G$1,0))</f>
        <v>3.8849999999999998</v>
      </c>
      <c r="M102" s="6">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cm="1">
        <f t="array" ref="F103">_xlfn.XLOOKUP(C103,customers!A$1:$A$1001,customers!$B$1:$B$1001,0)</f>
        <v>Nickey Youles</v>
      </c>
      <c r="G103" s="2" t="str">
        <f>IF(_xlfn.XLOOKUP(C103,customers!$A$1:$A$1001,customers!$C$1:$C$1001,0)=0,"",_xlfn.XLOOKUP(C103,customers!$A$1:$A$1001,customers!$C$1:$C$1001))</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6">
        <f>INDEX(products!$A$1:$G$49,MATCH(orders!$D103,products!$A$1:$A$49,0),MATCH(orders!L$1,products!$A$1:$G$1,0))</f>
        <v>29.784999999999997</v>
      </c>
      <c r="M103" s="6">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cm="1">
        <f t="array" ref="F104">_xlfn.XLOOKUP(C104,customers!A$1:$A$1001,customers!$B$1:$B$1001,0)</f>
        <v>Dyanna Aizikovitz</v>
      </c>
      <c r="G104" s="2" t="str">
        <f>IF(_xlfn.XLOOKUP(C104,customers!$A$1:$A$1001,customers!$C$1:$C$1001,0)=0,"",_xlfn.XLOOKUP(C104,customers!$A$1:$A$1001,customers!$C$1:$C$1001))</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6">
        <f>INDEX(products!$A$1:$G$49,MATCH(orders!$D104,products!$A$1:$A$49,0),MATCH(orders!L$1,products!$A$1:$G$1,0))</f>
        <v>12.95</v>
      </c>
      <c r="M104" s="6">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cm="1">
        <f t="array" ref="F105">_xlfn.XLOOKUP(C105,customers!A$1:$A$1001,customers!$B$1:$B$1001,0)</f>
        <v>Bram Revel</v>
      </c>
      <c r="G105" s="2" t="str">
        <f>IF(_xlfn.XLOOKUP(C105,customers!$A$1:$A$1001,customers!$C$1:$C$1001,0)=0,"",_xlfn.XLOOKUP(C105,customers!$A$1:$A$1001,customers!$C$1:$C$1001))</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6">
        <f>INDEX(products!$A$1:$G$49,MATCH(orders!$D105,products!$A$1:$A$49,0),MATCH(orders!L$1,products!$A$1:$G$1,0))</f>
        <v>2.9849999999999999</v>
      </c>
      <c r="M105" s="6">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cm="1">
        <f t="array" ref="F106">_xlfn.XLOOKUP(C106,customers!A$1:$A$1001,customers!$B$1:$B$1001,0)</f>
        <v>Emiline Priddis</v>
      </c>
      <c r="G106" s="2" t="str">
        <f>IF(_xlfn.XLOOKUP(C106,customers!$A$1:$A$1001,customers!$C$1:$C$1001,0)=0,"",_xlfn.XLOOKUP(C106,customers!$A$1:$A$1001,customers!$C$1:$C$1001))</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6">
        <f>INDEX(products!$A$1:$G$49,MATCH(orders!$D106,products!$A$1:$A$49,0),MATCH(orders!L$1,products!$A$1:$G$1,0))</f>
        <v>14.55</v>
      </c>
      <c r="M106" s="6">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cm="1">
        <f t="array" ref="F107">_xlfn.XLOOKUP(C107,customers!A$1:$A$1001,customers!$B$1:$B$1001,0)</f>
        <v>Queenie Veel</v>
      </c>
      <c r="G107" s="2" t="str">
        <f>IF(_xlfn.XLOOKUP(C107,customers!$A$1:$A$1001,customers!$C$1:$C$1001,0)=0,"",_xlfn.XLOOKUP(C107,customers!$A$1:$A$1001,customers!$C$1:$C$1001))</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6">
        <f>INDEX(products!$A$1:$G$49,MATCH(orders!$D107,products!$A$1:$A$49,0),MATCH(orders!L$1,products!$A$1:$G$1,0))</f>
        <v>6.75</v>
      </c>
      <c r="M107" s="6">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cm="1">
        <f t="array" ref="F108">_xlfn.XLOOKUP(C108,customers!A$1:$A$1001,customers!$B$1:$B$1001,0)</f>
        <v>Lind Conyers</v>
      </c>
      <c r="G108" s="2" t="str">
        <f>IF(_xlfn.XLOOKUP(C108,customers!$A$1:$A$1001,customers!$C$1:$C$1001,0)=0,"",_xlfn.XLOOKUP(C108,customers!$A$1:$A$1001,customers!$C$1:$C$1001))</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6">
        <f>INDEX(products!$A$1:$G$49,MATCH(orders!$D108,products!$A$1:$A$49,0),MATCH(orders!L$1,products!$A$1:$G$1,0))</f>
        <v>12.15</v>
      </c>
      <c r="M108" s="6">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cm="1">
        <f t="array" ref="F109">_xlfn.XLOOKUP(C109,customers!A$1:$A$1001,customers!$B$1:$B$1001,0)</f>
        <v>Pen Wye</v>
      </c>
      <c r="G109" s="2" t="str">
        <f>IF(_xlfn.XLOOKUP(C109,customers!$A$1:$A$1001,customers!$C$1:$C$1001,0)=0,"",_xlfn.XLOOKUP(C109,customers!$A$1:$A$1001,customers!$C$1:$C$1001))</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6">
        <f>INDEX(products!$A$1:$G$49,MATCH(orders!$D109,products!$A$1:$A$49,0),MATCH(orders!L$1,products!$A$1:$G$1,0))</f>
        <v>5.97</v>
      </c>
      <c r="M109" s="6">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cm="1">
        <f t="array" ref="F110">_xlfn.XLOOKUP(C110,customers!A$1:$A$1001,customers!$B$1:$B$1001,0)</f>
        <v>Isahella Hagland</v>
      </c>
      <c r="G110" s="2" t="str">
        <f>IF(_xlfn.XLOOKUP(C110,customers!$A$1:$A$1001,customers!$C$1:$C$1001,0)=0,"",_xlfn.XLOOKUP(C110,customers!$A$1:$A$1001,customers!$C$1:$C$1001))</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6">
        <f>INDEX(products!$A$1:$G$49,MATCH(orders!$D110,products!$A$1:$A$49,0),MATCH(orders!L$1,products!$A$1:$G$1,0))</f>
        <v>6.75</v>
      </c>
      <c r="M110" s="6">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cm="1">
        <f t="array" ref="F111">_xlfn.XLOOKUP(C111,customers!A$1:$A$1001,customers!$B$1:$B$1001,0)</f>
        <v>Terry Sheryn</v>
      </c>
      <c r="G111" s="2" t="str">
        <f>IF(_xlfn.XLOOKUP(C111,customers!$A$1:$A$1001,customers!$C$1:$C$1001,0)=0,"",_xlfn.XLOOKUP(C111,customers!$A$1:$A$1001,customers!$C$1:$C$1001))</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6">
        <f>INDEX(products!$A$1:$G$49,MATCH(orders!$D111,products!$A$1:$A$49,0),MATCH(orders!L$1,products!$A$1:$G$1,0))</f>
        <v>7.77</v>
      </c>
      <c r="M111" s="6">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cm="1">
        <f t="array" ref="F112">_xlfn.XLOOKUP(C112,customers!A$1:$A$1001,customers!$B$1:$B$1001,0)</f>
        <v>Marie-jeanne Redgrave</v>
      </c>
      <c r="G112" s="2" t="str">
        <f>IF(_xlfn.XLOOKUP(C112,customers!$A$1:$A$1001,customers!$C$1:$C$1001,0)=0,"",_xlfn.XLOOKUP(C112,customers!$A$1:$A$1001,customers!$C$1:$C$1001))</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6">
        <f>INDEX(products!$A$1:$G$49,MATCH(orders!$D112,products!$A$1:$A$49,0),MATCH(orders!L$1,products!$A$1:$G$1,0))</f>
        <v>4.4550000000000001</v>
      </c>
      <c r="M112" s="6">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cm="1">
        <f t="array" ref="F113">_xlfn.XLOOKUP(C113,customers!A$1:$A$1001,customers!$B$1:$B$1001,0)</f>
        <v>Betty Fominov</v>
      </c>
      <c r="G113" s="2" t="str">
        <f>IF(_xlfn.XLOOKUP(C113,customers!$A$1:$A$1001,customers!$C$1:$C$1001,0)=0,"",_xlfn.XLOOKUP(C113,customers!$A$1:$A$1001,customers!$C$1:$C$1001))</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6">
        <f>INDEX(products!$A$1:$G$49,MATCH(orders!$D113,products!$A$1:$A$49,0),MATCH(orders!L$1,products!$A$1:$G$1,0))</f>
        <v>5.3699999999999992</v>
      </c>
      <c r="M113" s="6">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cm="1">
        <f t="array" ref="F114">_xlfn.XLOOKUP(C114,customers!A$1:$A$1001,customers!$B$1:$B$1001,0)</f>
        <v>Shawnee Critchlow</v>
      </c>
      <c r="G114" s="2" t="str">
        <f>IF(_xlfn.XLOOKUP(C114,customers!$A$1:$A$1001,customers!$C$1:$C$1001,0)=0,"",_xlfn.XLOOKUP(C114,customers!$A$1:$A$1001,customers!$C$1:$C$1001))</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6">
        <f>INDEX(products!$A$1:$G$49,MATCH(orders!$D114,products!$A$1:$A$49,0),MATCH(orders!L$1,products!$A$1:$G$1,0))</f>
        <v>11.25</v>
      </c>
      <c r="M114" s="6">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cm="1">
        <f t="array" ref="F115">_xlfn.XLOOKUP(C115,customers!A$1:$A$1001,customers!$B$1:$B$1001,0)</f>
        <v>Merrel Steptow</v>
      </c>
      <c r="G115" s="2" t="str">
        <f>IF(_xlfn.XLOOKUP(C115,customers!$A$1:$A$1001,customers!$C$1:$C$1001,0)=0,"",_xlfn.XLOOKUP(C115,customers!$A$1:$A$1001,customers!$C$1:$C$1001))</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6">
        <f>INDEX(products!$A$1:$G$49,MATCH(orders!$D115,products!$A$1:$A$49,0),MATCH(orders!L$1,products!$A$1:$G$1,0))</f>
        <v>14.55</v>
      </c>
      <c r="M115" s="6">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cm="1">
        <f t="array" ref="F116">_xlfn.XLOOKUP(C116,customers!A$1:$A$1001,customers!$B$1:$B$1001,0)</f>
        <v>Carmina Hubbuck</v>
      </c>
      <c r="G116" s="2" t="str">
        <f>IF(_xlfn.XLOOKUP(C116,customers!$A$1:$A$1001,customers!$C$1:$C$1001,0)=0,"",_xlfn.XLOOKUP(C116,customers!$A$1:$A$1001,customers!$C$1:$C$1001))</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6">
        <f>INDEX(products!$A$1:$G$49,MATCH(orders!$D116,products!$A$1:$A$49,0),MATCH(orders!L$1,products!$A$1:$G$1,0))</f>
        <v>3.5849999999999995</v>
      </c>
      <c r="M116" s="6">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cm="1">
        <f t="array" ref="F117">_xlfn.XLOOKUP(C117,customers!A$1:$A$1001,customers!$B$1:$B$1001,0)</f>
        <v>Ingeberg Mulliner</v>
      </c>
      <c r="G117" s="2" t="str">
        <f>IF(_xlfn.XLOOKUP(C117,customers!$A$1:$A$1001,customers!$C$1:$C$1001,0)=0,"",_xlfn.XLOOKUP(C117,customers!$A$1:$A$1001,customers!$C$1:$C$1001))</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6">
        <f>INDEX(products!$A$1:$G$49,MATCH(orders!$D117,products!$A$1:$A$49,0),MATCH(orders!L$1,products!$A$1:$G$1,0))</f>
        <v>15.85</v>
      </c>
      <c r="M117" s="6">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cm="1">
        <f t="array" ref="F118">_xlfn.XLOOKUP(C118,customers!A$1:$A$1001,customers!$B$1:$B$1001,0)</f>
        <v>Geneva Standley</v>
      </c>
      <c r="G118" s="2" t="str">
        <f>IF(_xlfn.XLOOKUP(C118,customers!$A$1:$A$1001,customers!$C$1:$C$1001,0)=0,"",_xlfn.XLOOKUP(C118,customers!$A$1:$A$1001,customers!$C$1:$C$1001))</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6">
        <f>INDEX(products!$A$1:$G$49,MATCH(orders!$D118,products!$A$1:$A$49,0),MATCH(orders!L$1,products!$A$1:$G$1,0))</f>
        <v>4.7549999999999999</v>
      </c>
      <c r="M118" s="6">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cm="1">
        <f t="array" ref="F119">_xlfn.XLOOKUP(C119,customers!A$1:$A$1001,customers!$B$1:$B$1001,0)</f>
        <v>Brook Drage</v>
      </c>
      <c r="G119" s="2" t="str">
        <f>IF(_xlfn.XLOOKUP(C119,customers!$A$1:$A$1001,customers!$C$1:$C$1001,0)=0,"",_xlfn.XLOOKUP(C119,customers!$A$1:$A$1001,customers!$C$1:$C$1001))</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6">
        <f>INDEX(products!$A$1:$G$49,MATCH(orders!$D119,products!$A$1:$A$49,0),MATCH(orders!L$1,products!$A$1:$G$1,0))</f>
        <v>9.51</v>
      </c>
      <c r="M119" s="6">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cm="1">
        <f t="array" ref="F120">_xlfn.XLOOKUP(C120,customers!A$1:$A$1001,customers!$B$1:$B$1001,0)</f>
        <v>Muffin Yallop</v>
      </c>
      <c r="G120" s="2" t="str">
        <f>IF(_xlfn.XLOOKUP(C120,customers!$A$1:$A$1001,customers!$C$1:$C$1001,0)=0,"",_xlfn.XLOOKUP(C120,customers!$A$1:$A$1001,customers!$C$1:$C$1001))</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6">
        <f>INDEX(products!$A$1:$G$49,MATCH(orders!$D120,products!$A$1:$A$49,0),MATCH(orders!L$1,products!$A$1:$G$1,0))</f>
        <v>7.29</v>
      </c>
      <c r="M120" s="6">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cm="1">
        <f t="array" ref="F121">_xlfn.XLOOKUP(C121,customers!A$1:$A$1001,customers!$B$1:$B$1001,0)</f>
        <v>Cordi Switsur</v>
      </c>
      <c r="G121" s="2" t="str">
        <f>IF(_xlfn.XLOOKUP(C121,customers!$A$1:$A$1001,customers!$C$1:$C$1001,0)=0,"",_xlfn.XLOOKUP(C121,customers!$A$1:$A$1001,customers!$C$1:$C$1001))</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6">
        <f>INDEX(products!$A$1:$G$49,MATCH(orders!$D121,products!$A$1:$A$49,0),MATCH(orders!L$1,products!$A$1:$G$1,0))</f>
        <v>4.125</v>
      </c>
      <c r="M121" s="6">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cm="1">
        <f t="array" ref="F122">_xlfn.XLOOKUP(C122,customers!A$1:$A$1001,customers!$B$1:$B$1001,0)</f>
        <v>Cordi Switsur</v>
      </c>
      <c r="G122" s="2" t="str">
        <f>IF(_xlfn.XLOOKUP(C122,customers!$A$1:$A$1001,customers!$C$1:$C$1001,0)=0,"",_xlfn.XLOOKUP(C122,customers!$A$1:$A$1001,customers!$C$1:$C$1001))</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6">
        <f>INDEX(products!$A$1:$G$49,MATCH(orders!$D122,products!$A$1:$A$49,0),MATCH(orders!L$1,products!$A$1:$G$1,0))</f>
        <v>3.8849999999999998</v>
      </c>
      <c r="M122" s="6">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cm="1">
        <f t="array" ref="F123">_xlfn.XLOOKUP(C123,customers!A$1:$A$1001,customers!$B$1:$B$1001,0)</f>
        <v>Cordi Switsur</v>
      </c>
      <c r="G123" s="2" t="str">
        <f>IF(_xlfn.XLOOKUP(C123,customers!$A$1:$A$1001,customers!$C$1:$C$1001,0)=0,"",_xlfn.XLOOKUP(C123,customers!$A$1:$A$1001,customers!$C$1:$C$1001))</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6">
        <f>INDEX(products!$A$1:$G$49,MATCH(orders!$D123,products!$A$1:$A$49,0),MATCH(orders!L$1,products!$A$1:$G$1,0))</f>
        <v>13.75</v>
      </c>
      <c r="M123" s="6">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cm="1">
        <f t="array" ref="F124">_xlfn.XLOOKUP(C124,customers!A$1:$A$1001,customers!$B$1:$B$1001,0)</f>
        <v>Mahala Ludwell</v>
      </c>
      <c r="G124" s="2" t="str">
        <f>IF(_xlfn.XLOOKUP(C124,customers!$A$1:$A$1001,customers!$C$1:$C$1001,0)=0,"",_xlfn.XLOOKUP(C124,customers!$A$1:$A$1001,customers!$C$1:$C$1001))</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6">
        <f>INDEX(products!$A$1:$G$49,MATCH(orders!$D124,products!$A$1:$A$49,0),MATCH(orders!L$1,products!$A$1:$G$1,0))</f>
        <v>5.97</v>
      </c>
      <c r="M124" s="6">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cm="1">
        <f t="array" ref="F125">_xlfn.XLOOKUP(C125,customers!A$1:$A$1001,customers!$B$1:$B$1001,0)</f>
        <v>Doll Beauchamp</v>
      </c>
      <c r="G125" s="2" t="str">
        <f>IF(_xlfn.XLOOKUP(C125,customers!$A$1:$A$1001,customers!$C$1:$C$1001,0)=0,"",_xlfn.XLOOKUP(C125,customers!$A$1:$A$1001,customers!$C$1:$C$1001))</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6">
        <f>INDEX(products!$A$1:$G$49,MATCH(orders!$D125,products!$A$1:$A$49,0),MATCH(orders!L$1,products!$A$1:$G$1,0))</f>
        <v>36.454999999999998</v>
      </c>
      <c r="M125" s="6">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cm="1">
        <f t="array" ref="F126">_xlfn.XLOOKUP(C126,customers!A$1:$A$1001,customers!$B$1:$B$1001,0)</f>
        <v>Stanford Rodliff</v>
      </c>
      <c r="G126" s="2" t="str">
        <f>IF(_xlfn.XLOOKUP(C126,customers!$A$1:$A$1001,customers!$C$1:$C$1001,0)=0,"",_xlfn.XLOOKUP(C126,customers!$A$1:$A$1001,customers!$C$1:$C$1001))</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6">
        <f>INDEX(products!$A$1:$G$49,MATCH(orders!$D126,products!$A$1:$A$49,0),MATCH(orders!L$1,products!$A$1:$G$1,0))</f>
        <v>4.3650000000000002</v>
      </c>
      <c r="M126" s="6">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cm="1">
        <f t="array" ref="F127">_xlfn.XLOOKUP(C127,customers!A$1:$A$1001,customers!$B$1:$B$1001,0)</f>
        <v>Stevana Woodham</v>
      </c>
      <c r="G127" s="2" t="str">
        <f>IF(_xlfn.XLOOKUP(C127,customers!$A$1:$A$1001,customers!$C$1:$C$1001,0)=0,"",_xlfn.XLOOKUP(C127,customers!$A$1:$A$1001,customers!$C$1:$C$1001))</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6">
        <f>INDEX(products!$A$1:$G$49,MATCH(orders!$D127,products!$A$1:$A$49,0),MATCH(orders!L$1,products!$A$1:$G$1,0))</f>
        <v>8.73</v>
      </c>
      <c r="M127" s="6">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cm="1">
        <f t="array" ref="F128">_xlfn.XLOOKUP(C128,customers!A$1:$A$1001,customers!$B$1:$B$1001,0)</f>
        <v>Hewet Synnot</v>
      </c>
      <c r="G128" s="2" t="str">
        <f>IF(_xlfn.XLOOKUP(C128,customers!$A$1:$A$1001,customers!$C$1:$C$1001,0)=0,"",_xlfn.XLOOKUP(C128,customers!$A$1:$A$1001,customers!$C$1:$C$1001))</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6">
        <f>INDEX(products!$A$1:$G$49,MATCH(orders!$D128,products!$A$1:$A$49,0),MATCH(orders!L$1,products!$A$1:$G$1,0))</f>
        <v>11.25</v>
      </c>
      <c r="M128" s="6">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cm="1">
        <f t="array" ref="F129">_xlfn.XLOOKUP(C129,customers!A$1:$A$1001,customers!$B$1:$B$1001,0)</f>
        <v>Raleigh Lepere</v>
      </c>
      <c r="G129" s="2" t="str">
        <f>IF(_xlfn.XLOOKUP(C129,customers!$A$1:$A$1001,customers!$C$1:$C$1001,0)=0,"",_xlfn.XLOOKUP(C129,customers!$A$1:$A$1001,customers!$C$1:$C$1001))</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6">
        <f>INDEX(products!$A$1:$G$49,MATCH(orders!$D129,products!$A$1:$A$49,0),MATCH(orders!L$1,products!$A$1:$G$1,0))</f>
        <v>12.95</v>
      </c>
      <c r="M129" s="6">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cm="1">
        <f t="array" ref="F130">_xlfn.XLOOKUP(C130,customers!A$1:$A$1001,customers!$B$1:$B$1001,0)</f>
        <v>Timofei Woofinden</v>
      </c>
      <c r="G130" s="2" t="str">
        <f>IF(_xlfn.XLOOKUP(C130,customers!$A$1:$A$1001,customers!$C$1:$C$1001,0)=0,"",_xlfn.XLOOKUP(C130,customers!$A$1:$A$1001,customers!$C$1:$C$1001))</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6">
        <f>INDEX(products!$A$1:$G$49,MATCH(orders!$D130,products!$A$1:$A$49,0),MATCH(orders!L$1,products!$A$1:$G$1,0))</f>
        <v>6.75</v>
      </c>
      <c r="M130" s="6">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cm="1">
        <f t="array" ref="F131">_xlfn.XLOOKUP(C131,customers!A$1:$A$1001,customers!$B$1:$B$1001,0)</f>
        <v>Evelina Dacca</v>
      </c>
      <c r="G131" s="2" t="str">
        <f>IF(_xlfn.XLOOKUP(C131,customers!$A$1:$A$1001,customers!$C$1:$C$1001,0)=0,"",_xlfn.XLOOKUP(C131,customers!$A$1:$A$1001,customers!$C$1:$C$1001))</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6">
        <f>INDEX(products!$A$1:$G$49,MATCH(orders!$D131,products!$A$1:$A$49,0),MATCH(orders!L$1,products!$A$1:$G$1,0))</f>
        <v>12.15</v>
      </c>
      <c r="M131" s="6">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cm="1">
        <f t="array" ref="F132">_xlfn.XLOOKUP(C132,customers!A$1:$A$1001,customers!$B$1:$B$1001,0)</f>
        <v>Bidget Tremellier</v>
      </c>
      <c r="G132" s="2" t="str">
        <f>IF(_xlfn.XLOOKUP(C132,customers!$A$1:$A$1001,customers!$C$1:$C$1001,0)=0,"",_xlfn.XLOOKUP(C132,customers!$A$1:$A$1001,customers!$C$1:$C$1001))</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6">
        <f>INDEX(products!$A$1:$G$49,MATCH(orders!$D132,products!$A$1:$A$49,0),MATCH(orders!L$1,products!$A$1:$G$1,0))</f>
        <v>29.784999999999997</v>
      </c>
      <c r="M132" s="6">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cm="1">
        <f t="array" ref="F133">_xlfn.XLOOKUP(C133,customers!A$1:$A$1001,customers!$B$1:$B$1001,0)</f>
        <v>Bobinette Hindsberg</v>
      </c>
      <c r="G133" s="2" t="str">
        <f>IF(_xlfn.XLOOKUP(C133,customers!$A$1:$A$1001,customers!$C$1:$C$1001,0)=0,"",_xlfn.XLOOKUP(C133,customers!$A$1:$A$1001,customers!$C$1:$C$1001))</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6">
        <f>INDEX(products!$A$1:$G$49,MATCH(orders!$D133,products!$A$1:$A$49,0),MATCH(orders!L$1,products!$A$1:$G$1,0))</f>
        <v>7.29</v>
      </c>
      <c r="M133" s="6">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cm="1">
        <f t="array" ref="F134">_xlfn.XLOOKUP(C134,customers!A$1:$A$1001,customers!$B$1:$B$1001,0)</f>
        <v>Osbert Robins</v>
      </c>
      <c r="G134" s="2" t="str">
        <f>IF(_xlfn.XLOOKUP(C134,customers!$A$1:$A$1001,customers!$C$1:$C$1001,0)=0,"",_xlfn.XLOOKUP(C134,customers!$A$1:$A$1001,customers!$C$1:$C$1001))</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6">
        <f>INDEX(products!$A$1:$G$49,MATCH(orders!$D134,products!$A$1:$A$49,0),MATCH(orders!L$1,products!$A$1:$G$1,0))</f>
        <v>29.784999999999997</v>
      </c>
      <c r="M134" s="6">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cm="1">
        <f t="array" ref="F135">_xlfn.XLOOKUP(C135,customers!A$1:$A$1001,customers!$B$1:$B$1001,0)</f>
        <v>Othello Syseland</v>
      </c>
      <c r="G135" s="2" t="str">
        <f>IF(_xlfn.XLOOKUP(C135,customers!$A$1:$A$1001,customers!$C$1:$C$1001,0)=0,"",_xlfn.XLOOKUP(C135,customers!$A$1:$A$1001,customers!$C$1:$C$1001))</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6">
        <f>INDEX(products!$A$1:$G$49,MATCH(orders!$D135,products!$A$1:$A$49,0),MATCH(orders!L$1,products!$A$1:$G$1,0))</f>
        <v>12.95</v>
      </c>
      <c r="M135" s="6">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cm="1">
        <f t="array" ref="F136">_xlfn.XLOOKUP(C136,customers!A$1:$A$1001,customers!$B$1:$B$1001,0)</f>
        <v>Ewell Hanby</v>
      </c>
      <c r="G136" s="2" t="str">
        <f>IF(_xlfn.XLOOKUP(C136,customers!$A$1:$A$1001,customers!$C$1:$C$1001,0)=0,"",_xlfn.XLOOKUP(C136,customers!$A$1:$A$1001,customers!$C$1:$C$1001))</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6">
        <f>INDEX(products!$A$1:$G$49,MATCH(orders!$D136,products!$A$1:$A$49,0),MATCH(orders!L$1,products!$A$1:$G$1,0))</f>
        <v>31.624999999999996</v>
      </c>
      <c r="M136" s="6">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cm="1">
        <f t="array" ref="F137">_xlfn.XLOOKUP(C137,customers!A$1:$A$1001,customers!$B$1:$B$1001,0)</f>
        <v>Blancha McAmish</v>
      </c>
      <c r="G137" s="2" t="str">
        <f>IF(_xlfn.XLOOKUP(C137,customers!$A$1:$A$1001,customers!$C$1:$C$1001,0)=0,"",_xlfn.XLOOKUP(C137,customers!$A$1:$A$1001,customers!$C$1:$C$1001))</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6">
        <f>INDEX(products!$A$1:$G$49,MATCH(orders!$D137,products!$A$1:$A$49,0),MATCH(orders!L$1,products!$A$1:$G$1,0))</f>
        <v>7.77</v>
      </c>
      <c r="M137" s="6">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cm="1">
        <f t="array" ref="F138">_xlfn.XLOOKUP(C138,customers!A$1:$A$1001,customers!$B$1:$B$1001,0)</f>
        <v>Lowell Keenleyside</v>
      </c>
      <c r="G138" s="2" t="str">
        <f>IF(_xlfn.XLOOKUP(C138,customers!$A$1:$A$1001,customers!$C$1:$C$1001,0)=0,"",_xlfn.XLOOKUP(C138,customers!$A$1:$A$1001,customers!$C$1:$C$1001))</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6">
        <f>INDEX(products!$A$1:$G$49,MATCH(orders!$D138,products!$A$1:$A$49,0),MATCH(orders!L$1,products!$A$1:$G$1,0))</f>
        <v>2.9849999999999999</v>
      </c>
      <c r="M138" s="6">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cm="1">
        <f t="array" ref="F139">_xlfn.XLOOKUP(C139,customers!A$1:$A$1001,customers!$B$1:$B$1001,0)</f>
        <v>Elonore Joliffe</v>
      </c>
      <c r="G139" s="2" t="str">
        <f>IF(_xlfn.XLOOKUP(C139,customers!$A$1:$A$1001,customers!$C$1:$C$1001,0)=0,"",_xlfn.XLOOKUP(C139,customers!$A$1:$A$1001,customers!$C$1:$C$1001))</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6">
        <f>INDEX(products!$A$1:$G$49,MATCH(orders!$D139,products!$A$1:$A$49,0),MATCH(orders!L$1,products!$A$1:$G$1,0))</f>
        <v>34.154999999999994</v>
      </c>
      <c r="M139" s="6">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cm="1">
        <f t="array" ref="F140">_xlfn.XLOOKUP(C140,customers!A$1:$A$1001,customers!$B$1:$B$1001,0)</f>
        <v>Abraham Coleman</v>
      </c>
      <c r="G140" s="2" t="str">
        <f>IF(_xlfn.XLOOKUP(C140,customers!$A$1:$A$1001,customers!$C$1:$C$1001,0)=0,"",_xlfn.XLOOKUP(C140,customers!$A$1:$A$1001,customers!$C$1:$C$1001))</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6">
        <f>INDEX(products!$A$1:$G$49,MATCH(orders!$D140,products!$A$1:$A$49,0),MATCH(orders!L$1,products!$A$1:$G$1,0))</f>
        <v>12.15</v>
      </c>
      <c r="M140" s="6">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cm="1">
        <f t="array" ref="F141">_xlfn.XLOOKUP(C141,customers!A$1:$A$1001,customers!$B$1:$B$1001,0)</f>
        <v>Rivy Farington</v>
      </c>
      <c r="G141" s="2" t="str">
        <f>IF(_xlfn.XLOOKUP(C141,customers!$A$1:$A$1001,customers!$C$1:$C$1001,0)=0,"",_xlfn.XLOOKUP(C141,customers!$A$1:$A$1001,customers!$C$1:$C$1001))</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6">
        <f>INDEX(products!$A$1:$G$49,MATCH(orders!$D141,products!$A$1:$A$49,0),MATCH(orders!L$1,products!$A$1:$G$1,0))</f>
        <v>12.95</v>
      </c>
      <c r="M141" s="6">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cm="1">
        <f t="array" ref="F142">_xlfn.XLOOKUP(C142,customers!A$1:$A$1001,customers!$B$1:$B$1001,0)</f>
        <v>Vallie Kundt</v>
      </c>
      <c r="G142" s="2" t="str">
        <f>IF(_xlfn.XLOOKUP(C142,customers!$A$1:$A$1001,customers!$C$1:$C$1001,0)=0,"",_xlfn.XLOOKUP(C142,customers!$A$1:$A$1001,customers!$C$1:$C$1001))</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6">
        <f>INDEX(products!$A$1:$G$49,MATCH(orders!$D142,products!$A$1:$A$49,0),MATCH(orders!L$1,products!$A$1:$G$1,0))</f>
        <v>29.784999999999997</v>
      </c>
      <c r="M142" s="6">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cm="1">
        <f t="array" ref="F143">_xlfn.XLOOKUP(C143,customers!A$1:$A$1001,customers!$B$1:$B$1001,0)</f>
        <v>Boyd Bett</v>
      </c>
      <c r="G143" s="2" t="str">
        <f>IF(_xlfn.XLOOKUP(C143,customers!$A$1:$A$1001,customers!$C$1:$C$1001,0)=0,"",_xlfn.XLOOKUP(C143,customers!$A$1:$A$1001,customers!$C$1:$C$1001))</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6">
        <f>INDEX(products!$A$1:$G$49,MATCH(orders!$D143,products!$A$1:$A$49,0),MATCH(orders!L$1,products!$A$1:$G$1,0))</f>
        <v>3.8849999999999998</v>
      </c>
      <c r="M143" s="6">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cm="1">
        <f t="array" ref="F144">_xlfn.XLOOKUP(C144,customers!A$1:$A$1001,customers!$B$1:$B$1001,0)</f>
        <v>Julio Armytage</v>
      </c>
      <c r="G144" s="2" t="str">
        <f>IF(_xlfn.XLOOKUP(C144,customers!$A$1:$A$1001,customers!$C$1:$C$1001,0)=0,"",_xlfn.XLOOKUP(C144,customers!$A$1:$A$1001,customers!$C$1:$C$1001))</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6">
        <f>INDEX(products!$A$1:$G$49,MATCH(orders!$D144,products!$A$1:$A$49,0),MATCH(orders!L$1,products!$A$1:$G$1,0))</f>
        <v>34.154999999999994</v>
      </c>
      <c r="M144" s="6">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cm="1">
        <f t="array" ref="F145">_xlfn.XLOOKUP(C145,customers!A$1:$A$1001,customers!$B$1:$B$1001,0)</f>
        <v>Deana Staite</v>
      </c>
      <c r="G145" s="2" t="str">
        <f>IF(_xlfn.XLOOKUP(C145,customers!$A$1:$A$1001,customers!$C$1:$C$1001,0)=0,"",_xlfn.XLOOKUP(C145,customers!$A$1:$A$1001,customers!$C$1:$C$1001))</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6">
        <f>INDEX(products!$A$1:$G$49,MATCH(orders!$D145,products!$A$1:$A$49,0),MATCH(orders!L$1,products!$A$1:$G$1,0))</f>
        <v>8.73</v>
      </c>
      <c r="M145" s="6">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cm="1">
        <f t="array" ref="F146">_xlfn.XLOOKUP(C146,customers!A$1:$A$1001,customers!$B$1:$B$1001,0)</f>
        <v>Winn Keyse</v>
      </c>
      <c r="G146" s="2" t="str">
        <f>IF(_xlfn.XLOOKUP(C146,customers!$A$1:$A$1001,customers!$C$1:$C$1001,0)=0,"",_xlfn.XLOOKUP(C146,customers!$A$1:$A$1001,customers!$C$1:$C$1001))</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6">
        <f>INDEX(products!$A$1:$G$49,MATCH(orders!$D146,products!$A$1:$A$49,0),MATCH(orders!L$1,products!$A$1:$G$1,0))</f>
        <v>34.154999999999994</v>
      </c>
      <c r="M146" s="6">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cm="1">
        <f t="array" ref="F147">_xlfn.XLOOKUP(C147,customers!A$1:$A$1001,customers!$B$1:$B$1001,0)</f>
        <v>Osmund Clausen-Thue</v>
      </c>
      <c r="G147" s="2" t="str">
        <f>IF(_xlfn.XLOOKUP(C147,customers!$A$1:$A$1001,customers!$C$1:$C$1001,0)=0,"",_xlfn.XLOOKUP(C147,customers!$A$1:$A$1001,customers!$C$1:$C$1001))</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6">
        <f>INDEX(products!$A$1:$G$49,MATCH(orders!$D147,products!$A$1:$A$49,0),MATCH(orders!L$1,products!$A$1:$G$1,0))</f>
        <v>4.3650000000000002</v>
      </c>
      <c r="M147" s="6">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cm="1">
        <f t="array" ref="F148">_xlfn.XLOOKUP(C148,customers!A$1:$A$1001,customers!$B$1:$B$1001,0)</f>
        <v>Leonore Francisco</v>
      </c>
      <c r="G148" s="2" t="str">
        <f>IF(_xlfn.XLOOKUP(C148,customers!$A$1:$A$1001,customers!$C$1:$C$1001,0)=0,"",_xlfn.XLOOKUP(C148,customers!$A$1:$A$1001,customers!$C$1:$C$1001))</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6">
        <f>INDEX(products!$A$1:$G$49,MATCH(orders!$D148,products!$A$1:$A$49,0),MATCH(orders!L$1,products!$A$1:$G$1,0))</f>
        <v>14.55</v>
      </c>
      <c r="M148" s="6">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cm="1">
        <f t="array" ref="F149">_xlfn.XLOOKUP(C149,customers!A$1:$A$1001,customers!$B$1:$B$1001,0)</f>
        <v>Leonore Francisco</v>
      </c>
      <c r="G149" s="2" t="str">
        <f>IF(_xlfn.XLOOKUP(C149,customers!$A$1:$A$1001,customers!$C$1:$C$1001,0)=0,"",_xlfn.XLOOKUP(C149,customers!$A$1:$A$1001,customers!$C$1:$C$1001))</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6">
        <f>INDEX(products!$A$1:$G$49,MATCH(orders!$D149,products!$A$1:$A$49,0),MATCH(orders!L$1,products!$A$1:$G$1,0))</f>
        <v>13.75</v>
      </c>
      <c r="M149" s="6">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cm="1">
        <f t="array" ref="F150">_xlfn.XLOOKUP(C150,customers!A$1:$A$1001,customers!$B$1:$B$1001,0)</f>
        <v>Giacobo Skingle</v>
      </c>
      <c r="G150" s="2" t="str">
        <f>IF(_xlfn.XLOOKUP(C150,customers!$A$1:$A$1001,customers!$C$1:$C$1001,0)=0,"",_xlfn.XLOOKUP(C150,customers!$A$1:$A$1001,customers!$C$1:$C$1001))</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6">
        <f>INDEX(products!$A$1:$G$49,MATCH(orders!$D150,products!$A$1:$A$49,0),MATCH(orders!L$1,products!$A$1:$G$1,0))</f>
        <v>3.645</v>
      </c>
      <c r="M150" s="6">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cm="1">
        <f t="array" ref="F151">_xlfn.XLOOKUP(C151,customers!A$1:$A$1001,customers!$B$1:$B$1001,0)</f>
        <v>Gerard Pirdy</v>
      </c>
      <c r="G151" s="2" t="str">
        <f>IF(_xlfn.XLOOKUP(C151,customers!$A$1:$A$1001,customers!$C$1:$C$1001,0)=0,"",_xlfn.XLOOKUP(C151,customers!$A$1:$A$1001,customers!$C$1:$C$1001))</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6">
        <f>INDEX(products!$A$1:$G$49,MATCH(orders!$D151,products!$A$1:$A$49,0),MATCH(orders!L$1,products!$A$1:$G$1,0))</f>
        <v>25.874999999999996</v>
      </c>
      <c r="M151" s="6">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cm="1">
        <f t="array" ref="F152">_xlfn.XLOOKUP(C152,customers!A$1:$A$1001,customers!$B$1:$B$1001,0)</f>
        <v>Jacinthe Balsillie</v>
      </c>
      <c r="G152" s="2" t="str">
        <f>IF(_xlfn.XLOOKUP(C152,customers!$A$1:$A$1001,customers!$C$1:$C$1001,0)=0,"",_xlfn.XLOOKUP(C152,customers!$A$1:$A$1001,customers!$C$1:$C$1001))</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6">
        <f>INDEX(products!$A$1:$G$49,MATCH(orders!$D152,products!$A$1:$A$49,0),MATCH(orders!L$1,products!$A$1:$G$1,0))</f>
        <v>12.95</v>
      </c>
      <c r="M152" s="6">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cm="1">
        <f t="array" ref="F153">_xlfn.XLOOKUP(C153,customers!A$1:$A$1001,customers!$B$1:$B$1001,0)</f>
        <v>Quinton Fouracres</v>
      </c>
      <c r="G153" s="2" t="str">
        <f>IF(_xlfn.XLOOKUP(C153,customers!$A$1:$A$1001,customers!$C$1:$C$1001,0)=0,"",_xlfn.XLOOKUP(C153,customers!$A$1:$A$1001,customers!$C$1:$C$1001))</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6">
        <f>INDEX(products!$A$1:$G$49,MATCH(orders!$D153,products!$A$1:$A$49,0),MATCH(orders!L$1,products!$A$1:$G$1,0))</f>
        <v>11.25</v>
      </c>
      <c r="M153" s="6">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cm="1">
        <f t="array" ref="F154">_xlfn.XLOOKUP(C154,customers!A$1:$A$1001,customers!$B$1:$B$1001,0)</f>
        <v>Bettina Leffek</v>
      </c>
      <c r="G154" s="2" t="str">
        <f>IF(_xlfn.XLOOKUP(C154,customers!$A$1:$A$1001,customers!$C$1:$C$1001,0)=0,"",_xlfn.XLOOKUP(C154,customers!$A$1:$A$1001,customers!$C$1:$C$1001))</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6">
        <f>INDEX(products!$A$1:$G$49,MATCH(orders!$D154,products!$A$1:$A$49,0),MATCH(orders!L$1,products!$A$1:$G$1,0))</f>
        <v>22.884999999999998</v>
      </c>
      <c r="M154" s="6">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cm="1">
        <f t="array" ref="F155">_xlfn.XLOOKUP(C155,customers!A$1:$A$1001,customers!$B$1:$B$1001,0)</f>
        <v>Hetti Penson</v>
      </c>
      <c r="G155" s="2" t="str">
        <f>IF(_xlfn.XLOOKUP(C155,customers!$A$1:$A$1001,customers!$C$1:$C$1001,0)=0,"",_xlfn.XLOOKUP(C155,customers!$A$1:$A$1001,customers!$C$1:$C$1001))</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6">
        <f>INDEX(products!$A$1:$G$49,MATCH(orders!$D155,products!$A$1:$A$49,0),MATCH(orders!L$1,products!$A$1:$G$1,0))</f>
        <v>2.6849999999999996</v>
      </c>
      <c r="M155" s="6">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cm="1">
        <f t="array" ref="F156">_xlfn.XLOOKUP(C156,customers!A$1:$A$1001,customers!$B$1:$B$1001,0)</f>
        <v>Jocko Pray</v>
      </c>
      <c r="G156" s="2" t="str">
        <f>IF(_xlfn.XLOOKUP(C156,customers!$A$1:$A$1001,customers!$C$1:$C$1001,0)=0,"",_xlfn.XLOOKUP(C156,customers!$A$1:$A$1001,customers!$C$1:$C$1001))</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6">
        <f>INDEX(products!$A$1:$G$49,MATCH(orders!$D156,products!$A$1:$A$49,0),MATCH(orders!L$1,products!$A$1:$G$1,0))</f>
        <v>22.884999999999998</v>
      </c>
      <c r="M156" s="6">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cm="1">
        <f t="array" ref="F157">_xlfn.XLOOKUP(C157,customers!A$1:$A$1001,customers!$B$1:$B$1001,0)</f>
        <v>Grete Holborn</v>
      </c>
      <c r="G157" s="2" t="str">
        <f>IF(_xlfn.XLOOKUP(C157,customers!$A$1:$A$1001,customers!$C$1:$C$1001,0)=0,"",_xlfn.XLOOKUP(C157,customers!$A$1:$A$1001,customers!$C$1:$C$1001))</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6">
        <f>INDEX(products!$A$1:$G$49,MATCH(orders!$D157,products!$A$1:$A$49,0),MATCH(orders!L$1,products!$A$1:$G$1,0))</f>
        <v>25.874999999999996</v>
      </c>
      <c r="M157" s="6">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cm="1">
        <f t="array" ref="F158">_xlfn.XLOOKUP(C158,customers!A$1:$A$1001,customers!$B$1:$B$1001,0)</f>
        <v>Fielding Keinrat</v>
      </c>
      <c r="G158" s="2" t="str">
        <f>IF(_xlfn.XLOOKUP(C158,customers!$A$1:$A$1001,customers!$C$1:$C$1001,0)=0,"",_xlfn.XLOOKUP(C158,customers!$A$1:$A$1001,customers!$C$1:$C$1001))</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6">
        <f>INDEX(products!$A$1:$G$49,MATCH(orders!$D158,products!$A$1:$A$49,0),MATCH(orders!L$1,products!$A$1:$G$1,0))</f>
        <v>25.874999999999996</v>
      </c>
      <c r="M158" s="6">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cm="1">
        <f t="array" ref="F159">_xlfn.XLOOKUP(C159,customers!A$1:$A$1001,customers!$B$1:$B$1001,0)</f>
        <v>Paulo Yea</v>
      </c>
      <c r="G159" s="2" t="str">
        <f>IF(_xlfn.XLOOKUP(C159,customers!$A$1:$A$1001,customers!$C$1:$C$1001,0)=0,"",_xlfn.XLOOKUP(C159,customers!$A$1:$A$1001,customers!$C$1:$C$1001))</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6">
        <f>INDEX(products!$A$1:$G$49,MATCH(orders!$D159,products!$A$1:$A$49,0),MATCH(orders!L$1,products!$A$1:$G$1,0))</f>
        <v>20.584999999999997</v>
      </c>
      <c r="M159" s="6">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cm="1">
        <f t="array" ref="F160">_xlfn.XLOOKUP(C160,customers!A$1:$A$1001,customers!$B$1:$B$1001,0)</f>
        <v>Say Risborough</v>
      </c>
      <c r="G160" s="2" t="str">
        <f>IF(_xlfn.XLOOKUP(C160,customers!$A$1:$A$1001,customers!$C$1:$C$1001,0)=0,"",_xlfn.XLOOKUP(C160,customers!$A$1:$A$1001,customers!$C$1:$C$1001))</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6">
        <f>INDEX(products!$A$1:$G$49,MATCH(orders!$D160,products!$A$1:$A$49,0),MATCH(orders!L$1,products!$A$1:$G$1,0))</f>
        <v>20.584999999999997</v>
      </c>
      <c r="M160" s="6">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cm="1">
        <f t="array" ref="F161">_xlfn.XLOOKUP(C161,customers!A$1:$A$1001,customers!$B$1:$B$1001,0)</f>
        <v>Alexa Sizey</v>
      </c>
      <c r="G161" s="2" t="str">
        <f>IF(_xlfn.XLOOKUP(C161,customers!$A$1:$A$1001,customers!$C$1:$C$1001,0)=0,"",_xlfn.XLOOKUP(C161,customers!$A$1:$A$1001,customers!$C$1:$C$1001))</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6">
        <f>INDEX(products!$A$1:$G$49,MATCH(orders!$D161,products!$A$1:$A$49,0),MATCH(orders!L$1,products!$A$1:$G$1,0))</f>
        <v>36.454999999999998</v>
      </c>
      <c r="M161" s="6">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cm="1">
        <f t="array" ref="F162">_xlfn.XLOOKUP(C162,customers!A$1:$A$1001,customers!$B$1:$B$1001,0)</f>
        <v>Kari Swede</v>
      </c>
      <c r="G162" s="2" t="str">
        <f>IF(_xlfn.XLOOKUP(C162,customers!$A$1:$A$1001,customers!$C$1:$C$1001,0)=0,"",_xlfn.XLOOKUP(C162,customers!$A$1:$A$1001,customers!$C$1:$C$1001))</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6">
        <f>INDEX(products!$A$1:$G$49,MATCH(orders!$D162,products!$A$1:$A$49,0),MATCH(orders!L$1,products!$A$1:$G$1,0))</f>
        <v>8.25</v>
      </c>
      <c r="M162" s="6">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cm="1">
        <f t="array" ref="F163">_xlfn.XLOOKUP(C163,customers!A$1:$A$1001,customers!$B$1:$B$1001,0)</f>
        <v>Leontine Rubrow</v>
      </c>
      <c r="G163" s="2" t="str">
        <f>IF(_xlfn.XLOOKUP(C163,customers!$A$1:$A$1001,customers!$C$1:$C$1001,0)=0,"",_xlfn.XLOOKUP(C163,customers!$A$1:$A$1001,customers!$C$1:$C$1001))</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6">
        <f>INDEX(products!$A$1:$G$49,MATCH(orders!$D163,products!$A$1:$A$49,0),MATCH(orders!L$1,products!$A$1:$G$1,0))</f>
        <v>7.77</v>
      </c>
      <c r="M163" s="6">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cm="1">
        <f t="array" ref="F164">_xlfn.XLOOKUP(C164,customers!A$1:$A$1001,customers!$B$1:$B$1001,0)</f>
        <v>Dottie Tift</v>
      </c>
      <c r="G164" s="2" t="str">
        <f>IF(_xlfn.XLOOKUP(C164,customers!$A$1:$A$1001,customers!$C$1:$C$1001,0)=0,"",_xlfn.XLOOKUP(C164,customers!$A$1:$A$1001,customers!$C$1:$C$1001))</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6">
        <f>INDEX(products!$A$1:$G$49,MATCH(orders!$D164,products!$A$1:$A$49,0),MATCH(orders!L$1,products!$A$1:$G$1,0))</f>
        <v>7.29</v>
      </c>
      <c r="M164" s="6">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cm="1">
        <f t="array" ref="F165">_xlfn.XLOOKUP(C165,customers!A$1:$A$1001,customers!$B$1:$B$1001,0)</f>
        <v>Gerardo Schonfeld</v>
      </c>
      <c r="G165" s="2" t="str">
        <f>IF(_xlfn.XLOOKUP(C165,customers!$A$1:$A$1001,customers!$C$1:$C$1001,0)=0,"",_xlfn.XLOOKUP(C165,customers!$A$1:$A$1001,customers!$C$1:$C$1001))</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6">
        <f>INDEX(products!$A$1:$G$49,MATCH(orders!$D165,products!$A$1:$A$49,0),MATCH(orders!L$1,products!$A$1:$G$1,0))</f>
        <v>2.6849999999999996</v>
      </c>
      <c r="M165" s="6">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cm="1">
        <f t="array" ref="F166">_xlfn.XLOOKUP(C166,customers!A$1:$A$1001,customers!$B$1:$B$1001,0)</f>
        <v>Claiborne Feye</v>
      </c>
      <c r="G166" s="2" t="str">
        <f>IF(_xlfn.XLOOKUP(C166,customers!$A$1:$A$1001,customers!$C$1:$C$1001,0)=0,"",_xlfn.XLOOKUP(C166,customers!$A$1:$A$1001,customers!$C$1:$C$1001))</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6">
        <f>INDEX(products!$A$1:$G$49,MATCH(orders!$D166,products!$A$1:$A$49,0),MATCH(orders!L$1,products!$A$1:$G$1,0))</f>
        <v>7.29</v>
      </c>
      <c r="M166" s="6">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cm="1">
        <f t="array" ref="F167">_xlfn.XLOOKUP(C167,customers!A$1:$A$1001,customers!$B$1:$B$1001,0)</f>
        <v>Mina Elstone</v>
      </c>
      <c r="G167" s="2" t="str">
        <f>IF(_xlfn.XLOOKUP(C167,customers!$A$1:$A$1001,customers!$C$1:$C$1001,0)=0,"",_xlfn.XLOOKUP(C167,customers!$A$1:$A$1001,customers!$C$1:$C$1001))</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6">
        <f>INDEX(products!$A$1:$G$49,MATCH(orders!$D167,products!$A$1:$A$49,0),MATCH(orders!L$1,products!$A$1:$G$1,0))</f>
        <v>8.9499999999999993</v>
      </c>
      <c r="M167" s="6">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cm="1">
        <f t="array" ref="F168">_xlfn.XLOOKUP(C168,customers!A$1:$A$1001,customers!$B$1:$B$1001,0)</f>
        <v>Sherman Mewrcik</v>
      </c>
      <c r="G168" s="2" t="str">
        <f>IF(_xlfn.XLOOKUP(C168,customers!$A$1:$A$1001,customers!$C$1:$C$1001,0)=0,"",_xlfn.XLOOKUP(C168,customers!$A$1:$A$1001,customers!$C$1:$C$1001))</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6">
        <f>INDEX(products!$A$1:$G$49,MATCH(orders!$D168,products!$A$1:$A$49,0),MATCH(orders!L$1,products!$A$1:$G$1,0))</f>
        <v>5.3699999999999992</v>
      </c>
      <c r="M168" s="6">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cm="1">
        <f t="array" ref="F169">_xlfn.XLOOKUP(C169,customers!A$1:$A$1001,customers!$B$1:$B$1001,0)</f>
        <v>Tamarah Fero</v>
      </c>
      <c r="G169" s="2" t="str">
        <f>IF(_xlfn.XLOOKUP(C169,customers!$A$1:$A$1001,customers!$C$1:$C$1001,0)=0,"",_xlfn.XLOOKUP(C169,customers!$A$1:$A$1001,customers!$C$1:$C$1001))</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6">
        <f>INDEX(products!$A$1:$G$49,MATCH(orders!$D169,products!$A$1:$A$49,0),MATCH(orders!L$1,products!$A$1:$G$1,0))</f>
        <v>8.25</v>
      </c>
      <c r="M169" s="6">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cm="1">
        <f t="array" ref="F170">_xlfn.XLOOKUP(C170,customers!A$1:$A$1001,customers!$B$1:$B$1001,0)</f>
        <v>Stanislaus Valsler</v>
      </c>
      <c r="G170" s="2" t="str">
        <f>IF(_xlfn.XLOOKUP(C170,customers!$A$1:$A$1001,customers!$C$1:$C$1001,0)=0,"",_xlfn.XLOOKUP(C170,customers!$A$1:$A$1001,customers!$C$1:$C$1001))</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6">
        <f>INDEX(products!$A$1:$G$49,MATCH(orders!$D170,products!$A$1:$A$49,0),MATCH(orders!L$1,products!$A$1:$G$1,0))</f>
        <v>6.75</v>
      </c>
      <c r="M170" s="6">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cm="1">
        <f t="array" ref="F171">_xlfn.XLOOKUP(C171,customers!A$1:$A$1001,customers!$B$1:$B$1001,0)</f>
        <v>Felita Dauney</v>
      </c>
      <c r="G171" s="2" t="str">
        <f>IF(_xlfn.XLOOKUP(C171,customers!$A$1:$A$1001,customers!$C$1:$C$1001,0)=0,"",_xlfn.XLOOKUP(C171,customers!$A$1:$A$1001,customers!$C$1:$C$1001))</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6">
        <f>INDEX(products!$A$1:$G$49,MATCH(orders!$D171,products!$A$1:$A$49,0),MATCH(orders!L$1,products!$A$1:$G$1,0))</f>
        <v>8.9499999999999993</v>
      </c>
      <c r="M171" s="6">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cm="1">
        <f t="array" ref="F172">_xlfn.XLOOKUP(C172,customers!A$1:$A$1001,customers!$B$1:$B$1001,0)</f>
        <v>Serena Earley</v>
      </c>
      <c r="G172" s="2" t="str">
        <f>IF(_xlfn.XLOOKUP(C172,customers!$A$1:$A$1001,customers!$C$1:$C$1001,0)=0,"",_xlfn.XLOOKUP(C172,customers!$A$1:$A$1001,customers!$C$1:$C$1001))</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6">
        <f>INDEX(products!$A$1:$G$49,MATCH(orders!$D172,products!$A$1:$A$49,0),MATCH(orders!L$1,products!$A$1:$G$1,0))</f>
        <v>34.154999999999994</v>
      </c>
      <c r="M172" s="6">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cm="1">
        <f t="array" ref="F173">_xlfn.XLOOKUP(C173,customers!A$1:$A$1001,customers!$B$1:$B$1001,0)</f>
        <v>Minny Chamberlayne</v>
      </c>
      <c r="G173" s="2" t="str">
        <f>IF(_xlfn.XLOOKUP(C173,customers!$A$1:$A$1001,customers!$C$1:$C$1001,0)=0,"",_xlfn.XLOOKUP(C173,customers!$A$1:$A$1001,customers!$C$1:$C$1001))</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6">
        <f>INDEX(products!$A$1:$G$49,MATCH(orders!$D173,products!$A$1:$A$49,0),MATCH(orders!L$1,products!$A$1:$G$1,0))</f>
        <v>31.624999999999996</v>
      </c>
      <c r="M173" s="6">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cm="1">
        <f t="array" ref="F174">_xlfn.XLOOKUP(C174,customers!A$1:$A$1001,customers!$B$1:$B$1001,0)</f>
        <v>Bartholemy Flaherty</v>
      </c>
      <c r="G174" s="2" t="str">
        <f>IF(_xlfn.XLOOKUP(C174,customers!$A$1:$A$1001,customers!$C$1:$C$1001,0)=0,"",_xlfn.XLOOKUP(C174,customers!$A$1:$A$1001,customers!$C$1:$C$1001))</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6">
        <f>INDEX(products!$A$1:$G$49,MATCH(orders!$D174,products!$A$1:$A$49,0),MATCH(orders!L$1,products!$A$1:$G$1,0))</f>
        <v>7.29</v>
      </c>
      <c r="M174" s="6">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cm="1">
        <f t="array" ref="F175">_xlfn.XLOOKUP(C175,customers!A$1:$A$1001,customers!$B$1:$B$1001,0)</f>
        <v>Oran Colbeck</v>
      </c>
      <c r="G175" s="2" t="str">
        <f>IF(_xlfn.XLOOKUP(C175,customers!$A$1:$A$1001,customers!$C$1:$C$1001,0)=0,"",_xlfn.XLOOKUP(C175,customers!$A$1:$A$1001,customers!$C$1:$C$1001))</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6">
        <f>INDEX(products!$A$1:$G$49,MATCH(orders!$D175,products!$A$1:$A$49,0),MATCH(orders!L$1,products!$A$1:$G$1,0))</f>
        <v>22.884999999999998</v>
      </c>
      <c r="M175" s="6">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cm="1">
        <f t="array" ref="F176">_xlfn.XLOOKUP(C176,customers!A$1:$A$1001,customers!$B$1:$B$1001,0)</f>
        <v>Elysee Sketch</v>
      </c>
      <c r="G176" s="2" t="str">
        <f>IF(_xlfn.XLOOKUP(C176,customers!$A$1:$A$1001,customers!$C$1:$C$1001,0)=0,"",_xlfn.XLOOKUP(C176,customers!$A$1:$A$1001,customers!$C$1:$C$1001))</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6">
        <f>INDEX(products!$A$1:$G$49,MATCH(orders!$D176,products!$A$1:$A$49,0),MATCH(orders!L$1,products!$A$1:$G$1,0))</f>
        <v>34.154999999999994</v>
      </c>
      <c r="M176" s="6">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cm="1">
        <f t="array" ref="F177">_xlfn.XLOOKUP(C177,customers!A$1:$A$1001,customers!$B$1:$B$1001,0)</f>
        <v>Ethelda Hobbing</v>
      </c>
      <c r="G177" s="2" t="str">
        <f>IF(_xlfn.XLOOKUP(C177,customers!$A$1:$A$1001,customers!$C$1:$C$1001,0)=0,"",_xlfn.XLOOKUP(C177,customers!$A$1:$A$1001,customers!$C$1:$C$1001))</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6">
        <f>INDEX(products!$A$1:$G$49,MATCH(orders!$D177,products!$A$1:$A$49,0),MATCH(orders!L$1,products!$A$1:$G$1,0))</f>
        <v>31.624999999999996</v>
      </c>
      <c r="M177" s="6">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cm="1">
        <f t="array" ref="F178">_xlfn.XLOOKUP(C178,customers!A$1:$A$1001,customers!$B$1:$B$1001,0)</f>
        <v>Odille Thynne</v>
      </c>
      <c r="G178" s="2" t="str">
        <f>IF(_xlfn.XLOOKUP(C178,customers!$A$1:$A$1001,customers!$C$1:$C$1001,0)=0,"",_xlfn.XLOOKUP(C178,customers!$A$1:$A$1001,customers!$C$1:$C$1001))</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6">
        <f>INDEX(products!$A$1:$G$49,MATCH(orders!$D178,products!$A$1:$A$49,0),MATCH(orders!L$1,products!$A$1:$G$1,0))</f>
        <v>34.154999999999994</v>
      </c>
      <c r="M178" s="6">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cm="1">
        <f t="array" ref="F179">_xlfn.XLOOKUP(C179,customers!A$1:$A$1001,customers!$B$1:$B$1001,0)</f>
        <v>Emlynne Heining</v>
      </c>
      <c r="G179" s="2" t="str">
        <f>IF(_xlfn.XLOOKUP(C179,customers!$A$1:$A$1001,customers!$C$1:$C$1001,0)=0,"",_xlfn.XLOOKUP(C179,customers!$A$1:$A$1001,customers!$C$1:$C$1001))</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6">
        <f>INDEX(products!$A$1:$G$49,MATCH(orders!$D179,products!$A$1:$A$49,0),MATCH(orders!L$1,products!$A$1:$G$1,0))</f>
        <v>27.484999999999996</v>
      </c>
      <c r="M179" s="6">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cm="1">
        <f t="array" ref="F180">_xlfn.XLOOKUP(C180,customers!A$1:$A$1001,customers!$B$1:$B$1001,0)</f>
        <v>Katerina Melloi</v>
      </c>
      <c r="G180" s="2" t="str">
        <f>IF(_xlfn.XLOOKUP(C180,customers!$A$1:$A$1001,customers!$C$1:$C$1001,0)=0,"",_xlfn.XLOOKUP(C180,customers!$A$1:$A$1001,customers!$C$1:$C$1001))</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6">
        <f>INDEX(products!$A$1:$G$49,MATCH(orders!$D180,products!$A$1:$A$49,0),MATCH(orders!L$1,products!$A$1:$G$1,0))</f>
        <v>12.95</v>
      </c>
      <c r="M180" s="6">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cm="1">
        <f t="array" ref="F181">_xlfn.XLOOKUP(C181,customers!A$1:$A$1001,customers!$B$1:$B$1001,0)</f>
        <v>Tiffany Scardafield</v>
      </c>
      <c r="G181" s="2" t="str">
        <f>IF(_xlfn.XLOOKUP(C181,customers!$A$1:$A$1001,customers!$C$1:$C$1001,0)=0,"",_xlfn.XLOOKUP(C181,customers!$A$1:$A$1001,customers!$C$1:$C$1001))</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6">
        <f>INDEX(products!$A$1:$G$49,MATCH(orders!$D181,products!$A$1:$A$49,0),MATCH(orders!L$1,products!$A$1:$G$1,0))</f>
        <v>2.9849999999999999</v>
      </c>
      <c r="M181" s="6">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cm="1">
        <f t="array" ref="F182">_xlfn.XLOOKUP(C182,customers!A$1:$A$1001,customers!$B$1:$B$1001,0)</f>
        <v>Abrahan Mussen</v>
      </c>
      <c r="G182" s="2" t="str">
        <f>IF(_xlfn.XLOOKUP(C182,customers!$A$1:$A$1001,customers!$C$1:$C$1001,0)=0,"",_xlfn.XLOOKUP(C182,customers!$A$1:$A$1001,customers!$C$1:$C$1001))</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6">
        <f>INDEX(products!$A$1:$G$49,MATCH(orders!$D182,products!$A$1:$A$49,0),MATCH(orders!L$1,products!$A$1:$G$1,0))</f>
        <v>4.4550000000000001</v>
      </c>
      <c r="M182" s="6">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cm="1">
        <f t="array" ref="F183">_xlfn.XLOOKUP(C183,customers!A$1:$A$1001,customers!$B$1:$B$1001,0)</f>
        <v>Abrahan Mussen</v>
      </c>
      <c r="G183" s="2" t="str">
        <f>IF(_xlfn.XLOOKUP(C183,customers!$A$1:$A$1001,customers!$C$1:$C$1001,0)=0,"",_xlfn.XLOOKUP(C183,customers!$A$1:$A$1001,customers!$C$1:$C$1001))</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6">
        <f>INDEX(products!$A$1:$G$49,MATCH(orders!$D183,products!$A$1:$A$49,0),MATCH(orders!L$1,products!$A$1:$G$1,0))</f>
        <v>5.97</v>
      </c>
      <c r="M183" s="6">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cm="1">
        <f t="array" ref="F184">_xlfn.XLOOKUP(C184,customers!A$1:$A$1001,customers!$B$1:$B$1001,0)</f>
        <v>Anny Mundford</v>
      </c>
      <c r="G184" s="2" t="str">
        <f>IF(_xlfn.XLOOKUP(C184,customers!$A$1:$A$1001,customers!$C$1:$C$1001,0)=0,"",_xlfn.XLOOKUP(C184,customers!$A$1:$A$1001,customers!$C$1:$C$1001))</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6">
        <f>INDEX(products!$A$1:$G$49,MATCH(orders!$D184,products!$A$1:$A$49,0),MATCH(orders!L$1,products!$A$1:$G$1,0))</f>
        <v>5.3699999999999992</v>
      </c>
      <c r="M184" s="6">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cm="1">
        <f t="array" ref="F185">_xlfn.XLOOKUP(C185,customers!A$1:$A$1001,customers!$B$1:$B$1001,0)</f>
        <v>Tory Walas</v>
      </c>
      <c r="G185" s="2" t="str">
        <f>IF(_xlfn.XLOOKUP(C185,customers!$A$1:$A$1001,customers!$C$1:$C$1001,0)=0,"",_xlfn.XLOOKUP(C185,customers!$A$1:$A$1001,customers!$C$1:$C$1001))</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6">
        <f>INDEX(products!$A$1:$G$49,MATCH(orders!$D185,products!$A$1:$A$49,0),MATCH(orders!L$1,products!$A$1:$G$1,0))</f>
        <v>4.125</v>
      </c>
      <c r="M185" s="6">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cm="1">
        <f t="array" ref="F186">_xlfn.XLOOKUP(C186,customers!A$1:$A$1001,customers!$B$1:$B$1001,0)</f>
        <v>Isa Blazewicz</v>
      </c>
      <c r="G186" s="2" t="str">
        <f>IF(_xlfn.XLOOKUP(C186,customers!$A$1:$A$1001,customers!$C$1:$C$1001,0)=0,"",_xlfn.XLOOKUP(C186,customers!$A$1:$A$1001,customers!$C$1:$C$1001))</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6">
        <f>INDEX(products!$A$1:$G$49,MATCH(orders!$D186,products!$A$1:$A$49,0),MATCH(orders!L$1,products!$A$1:$G$1,0))</f>
        <v>7.77</v>
      </c>
      <c r="M186" s="6">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cm="1">
        <f t="array" ref="F187">_xlfn.XLOOKUP(C187,customers!A$1:$A$1001,customers!$B$1:$B$1001,0)</f>
        <v>Angie Rizzetti</v>
      </c>
      <c r="G187" s="2" t="str">
        <f>IF(_xlfn.XLOOKUP(C187,customers!$A$1:$A$1001,customers!$C$1:$C$1001,0)=0,"",_xlfn.XLOOKUP(C187,customers!$A$1:$A$1001,customers!$C$1:$C$1001))</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6">
        <f>INDEX(products!$A$1:$G$49,MATCH(orders!$D187,products!$A$1:$A$49,0),MATCH(orders!L$1,products!$A$1:$G$1,0))</f>
        <v>7.29</v>
      </c>
      <c r="M187" s="6">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cm="1">
        <f t="array" ref="F188">_xlfn.XLOOKUP(C188,customers!A$1:$A$1001,customers!$B$1:$B$1001,0)</f>
        <v>Mord Meriet</v>
      </c>
      <c r="G188" s="2" t="str">
        <f>IF(_xlfn.XLOOKUP(C188,customers!$A$1:$A$1001,customers!$C$1:$C$1001,0)=0,"",_xlfn.XLOOKUP(C188,customers!$A$1:$A$1001,customers!$C$1:$C$1001))</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6">
        <f>INDEX(products!$A$1:$G$49,MATCH(orders!$D188,products!$A$1:$A$49,0),MATCH(orders!L$1,products!$A$1:$G$1,0))</f>
        <v>22.884999999999998</v>
      </c>
      <c r="M188" s="6">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cm="1">
        <f t="array" ref="F189">_xlfn.XLOOKUP(C189,customers!A$1:$A$1001,customers!$B$1:$B$1001,0)</f>
        <v>Lawrence Pratt</v>
      </c>
      <c r="G189" s="2" t="str">
        <f>IF(_xlfn.XLOOKUP(C189,customers!$A$1:$A$1001,customers!$C$1:$C$1001,0)=0,"",_xlfn.XLOOKUP(C189,customers!$A$1:$A$1001,customers!$C$1:$C$1001))</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6">
        <f>INDEX(products!$A$1:$G$49,MATCH(orders!$D189,products!$A$1:$A$49,0),MATCH(orders!L$1,products!$A$1:$G$1,0))</f>
        <v>8.73</v>
      </c>
      <c r="M189" s="6">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cm="1">
        <f t="array" ref="F190">_xlfn.XLOOKUP(C190,customers!A$1:$A$1001,customers!$B$1:$B$1001,0)</f>
        <v>Astrix Kitchingham</v>
      </c>
      <c r="G190" s="2" t="str">
        <f>IF(_xlfn.XLOOKUP(C190,customers!$A$1:$A$1001,customers!$C$1:$C$1001,0)=0,"",_xlfn.XLOOKUP(C190,customers!$A$1:$A$1001,customers!$C$1:$C$1001))</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6">
        <f>INDEX(products!$A$1:$G$49,MATCH(orders!$D190,products!$A$1:$A$49,0),MATCH(orders!L$1,products!$A$1:$G$1,0))</f>
        <v>4.4550000000000001</v>
      </c>
      <c r="M190" s="6">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cm="1">
        <f t="array" ref="F191">_xlfn.XLOOKUP(C191,customers!A$1:$A$1001,customers!$B$1:$B$1001,0)</f>
        <v>Burnard Bartholin</v>
      </c>
      <c r="G191" s="2" t="str">
        <f>IF(_xlfn.XLOOKUP(C191,customers!$A$1:$A$1001,customers!$C$1:$C$1001,0)=0,"",_xlfn.XLOOKUP(C191,customers!$A$1:$A$1001,customers!$C$1:$C$1001))</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6">
        <f>INDEX(products!$A$1:$G$49,MATCH(orders!$D191,products!$A$1:$A$49,0),MATCH(orders!L$1,products!$A$1:$G$1,0))</f>
        <v>14.55</v>
      </c>
      <c r="M191" s="6">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cm="1">
        <f t="array" ref="F192">_xlfn.XLOOKUP(C192,customers!A$1:$A$1001,customers!$B$1:$B$1001,0)</f>
        <v>Madelene Prinn</v>
      </c>
      <c r="G192" s="2" t="str">
        <f>IF(_xlfn.XLOOKUP(C192,customers!$A$1:$A$1001,customers!$C$1:$C$1001,0)=0,"",_xlfn.XLOOKUP(C192,customers!$A$1:$A$1001,customers!$C$1:$C$1001))</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6">
        <f>INDEX(products!$A$1:$G$49,MATCH(orders!$D192,products!$A$1:$A$49,0),MATCH(orders!L$1,products!$A$1:$G$1,0))</f>
        <v>33.464999999999996</v>
      </c>
      <c r="M192" s="6">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cm="1">
        <f t="array" ref="F193">_xlfn.XLOOKUP(C193,customers!A$1:$A$1001,customers!$B$1:$B$1001,0)</f>
        <v>Alisun Baudino</v>
      </c>
      <c r="G193" s="2" t="str">
        <f>IF(_xlfn.XLOOKUP(C193,customers!$A$1:$A$1001,customers!$C$1:$C$1001,0)=0,"",_xlfn.XLOOKUP(C193,customers!$A$1:$A$1001,customers!$C$1:$C$1001))</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6">
        <f>INDEX(products!$A$1:$G$49,MATCH(orders!$D193,products!$A$1:$A$49,0),MATCH(orders!L$1,products!$A$1:$G$1,0))</f>
        <v>3.8849999999999998</v>
      </c>
      <c r="M193" s="6">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cm="1">
        <f t="array" ref="F194">_xlfn.XLOOKUP(C194,customers!A$1:$A$1001,customers!$B$1:$B$1001,0)</f>
        <v>Philipa Petrushanko</v>
      </c>
      <c r="G194" s="2" t="str">
        <f>IF(_xlfn.XLOOKUP(C194,customers!$A$1:$A$1001,customers!$C$1:$C$1001,0)=0,"",_xlfn.XLOOKUP(C194,customers!$A$1:$A$1001,customers!$C$1:$C$1001))</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6">
        <f>INDEX(products!$A$1:$G$49,MATCH(orders!$D194,products!$A$1:$A$49,0),MATCH(orders!L$1,products!$A$1:$G$1,0))</f>
        <v>12.15</v>
      </c>
      <c r="M194" s="6">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cm="1">
        <f t="array" ref="F195">_xlfn.XLOOKUP(C195,customers!A$1:$A$1001,customers!$B$1:$B$1001,0)</f>
        <v>Kimberli Mustchin</v>
      </c>
      <c r="G195" s="2" t="str">
        <f>IF(_xlfn.XLOOKUP(C195,customers!$A$1:$A$1001,customers!$C$1:$C$1001,0)=0,"",_xlfn.XLOOKUP(C195,customers!$A$1:$A$1001,customers!$C$1:$C$1001))</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6">
        <f>INDEX(products!$A$1:$G$49,MATCH(orders!$D195,products!$A$1:$A$49,0),MATCH(orders!L$1,products!$A$1:$G$1,0))</f>
        <v>14.85</v>
      </c>
      <c r="M195" s="6">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cm="1">
        <f t="array" ref="F196">_xlfn.XLOOKUP(C196,customers!A$1:$A$1001,customers!$B$1:$B$1001,0)</f>
        <v>Emlynne Laird</v>
      </c>
      <c r="G196" s="2" t="str">
        <f>IF(_xlfn.XLOOKUP(C196,customers!$A$1:$A$1001,customers!$C$1:$C$1001,0)=0,"",_xlfn.XLOOKUP(C196,customers!$A$1:$A$1001,customers!$C$1:$C$1001))</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6">
        <f>INDEX(products!$A$1:$G$49,MATCH(orders!$D196,products!$A$1:$A$49,0),MATCH(orders!L$1,products!$A$1:$G$1,0))</f>
        <v>7.29</v>
      </c>
      <c r="M196" s="6">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cm="1">
        <f t="array" ref="F197">_xlfn.XLOOKUP(C197,customers!A$1:$A$1001,customers!$B$1:$B$1001,0)</f>
        <v>Marlena Howsden</v>
      </c>
      <c r="G197" s="2" t="str">
        <f>IF(_xlfn.XLOOKUP(C197,customers!$A$1:$A$1001,customers!$C$1:$C$1001,0)=0,"",_xlfn.XLOOKUP(C197,customers!$A$1:$A$1001,customers!$C$1:$C$1001))</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6">
        <f>INDEX(products!$A$1:$G$49,MATCH(orders!$D197,products!$A$1:$A$49,0),MATCH(orders!L$1,products!$A$1:$G$1,0))</f>
        <v>12.95</v>
      </c>
      <c r="M197" s="6">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cm="1">
        <f t="array" ref="F198">_xlfn.XLOOKUP(C198,customers!A$1:$A$1001,customers!$B$1:$B$1001,0)</f>
        <v>Nealson Cuttler</v>
      </c>
      <c r="G198" s="2" t="str">
        <f>IF(_xlfn.XLOOKUP(C198,customers!$A$1:$A$1001,customers!$C$1:$C$1001,0)=0,"",_xlfn.XLOOKUP(C198,customers!$A$1:$A$1001,customers!$C$1:$C$1001))</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6">
        <f>INDEX(products!$A$1:$G$49,MATCH(orders!$D198,products!$A$1:$A$49,0),MATCH(orders!L$1,products!$A$1:$G$1,0))</f>
        <v>8.91</v>
      </c>
      <c r="M198" s="6">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cm="1">
        <f t="array" ref="F199">_xlfn.XLOOKUP(C199,customers!A$1:$A$1001,customers!$B$1:$B$1001,0)</f>
        <v>Nealson Cuttler</v>
      </c>
      <c r="G199" s="2" t="str">
        <f>IF(_xlfn.XLOOKUP(C199,customers!$A$1:$A$1001,customers!$C$1:$C$1001,0)=0,"",_xlfn.XLOOKUP(C199,customers!$A$1:$A$1001,customers!$C$1:$C$1001))</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6">
        <f>INDEX(products!$A$1:$G$49,MATCH(orders!$D199,products!$A$1:$A$49,0),MATCH(orders!L$1,products!$A$1:$G$1,0))</f>
        <v>29.784999999999997</v>
      </c>
      <c r="M199" s="6">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cm="1">
        <f t="array" ref="F200">_xlfn.XLOOKUP(C200,customers!A$1:$A$1001,customers!$B$1:$B$1001,0)</f>
        <v>Nealson Cuttler</v>
      </c>
      <c r="G200" s="2" t="str">
        <f>IF(_xlfn.XLOOKUP(C200,customers!$A$1:$A$1001,customers!$C$1:$C$1001,0)=0,"",_xlfn.XLOOKUP(C200,customers!$A$1:$A$1001,customers!$C$1:$C$1001))</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6">
        <f>INDEX(products!$A$1:$G$49,MATCH(orders!$D200,products!$A$1:$A$49,0),MATCH(orders!L$1,products!$A$1:$G$1,0))</f>
        <v>29.784999999999997</v>
      </c>
      <c r="M200" s="6">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cm="1">
        <f t="array" ref="F201">_xlfn.XLOOKUP(C201,customers!A$1:$A$1001,customers!$B$1:$B$1001,0)</f>
        <v>Nealson Cuttler</v>
      </c>
      <c r="G201" s="2" t="str">
        <f>IF(_xlfn.XLOOKUP(C201,customers!$A$1:$A$1001,customers!$C$1:$C$1001,0)=0,"",_xlfn.XLOOKUP(C201,customers!$A$1:$A$1001,customers!$C$1:$C$1001))</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6">
        <f>INDEX(products!$A$1:$G$49,MATCH(orders!$D201,products!$A$1:$A$49,0),MATCH(orders!L$1,products!$A$1:$G$1,0))</f>
        <v>9.51</v>
      </c>
      <c r="M201" s="6">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cm="1">
        <f t="array" ref="F202">_xlfn.XLOOKUP(C202,customers!A$1:$A$1001,customers!$B$1:$B$1001,0)</f>
        <v>Nealson Cuttler</v>
      </c>
      <c r="G202" s="2" t="str">
        <f>IF(_xlfn.XLOOKUP(C202,customers!$A$1:$A$1001,customers!$C$1:$C$1001,0)=0,"",_xlfn.XLOOKUP(C202,customers!$A$1:$A$1001,customers!$C$1:$C$1001))</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6">
        <f>INDEX(products!$A$1:$G$49,MATCH(orders!$D202,products!$A$1:$A$49,0),MATCH(orders!L$1,products!$A$1:$G$1,0))</f>
        <v>13.75</v>
      </c>
      <c r="M202" s="6">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cm="1">
        <f t="array" ref="F203">_xlfn.XLOOKUP(C203,customers!A$1:$A$1001,customers!$B$1:$B$1001,0)</f>
        <v>Adriana Lazarus</v>
      </c>
      <c r="G203" s="2" t="str">
        <f>IF(_xlfn.XLOOKUP(C203,customers!$A$1:$A$1001,customers!$C$1:$C$1001,0)=0,"",_xlfn.XLOOKUP(C203,customers!$A$1:$A$1001,customers!$C$1:$C$1001))</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6">
        <f>INDEX(products!$A$1:$G$49,MATCH(orders!$D203,products!$A$1:$A$49,0),MATCH(orders!L$1,products!$A$1:$G$1,0))</f>
        <v>9.51</v>
      </c>
      <c r="M203" s="6">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cm="1">
        <f t="array" ref="F204">_xlfn.XLOOKUP(C204,customers!A$1:$A$1001,customers!$B$1:$B$1001,0)</f>
        <v>Tallie felip</v>
      </c>
      <c r="G204" s="2" t="str">
        <f>IF(_xlfn.XLOOKUP(C204,customers!$A$1:$A$1001,customers!$C$1:$C$1001,0)=0,"",_xlfn.XLOOKUP(C204,customers!$A$1:$A$1001,customers!$C$1:$C$1001))</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6">
        <f>INDEX(products!$A$1:$G$49,MATCH(orders!$D204,products!$A$1:$A$49,0),MATCH(orders!L$1,products!$A$1:$G$1,0))</f>
        <v>29.784999999999997</v>
      </c>
      <c r="M204" s="6">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cm="1">
        <f t="array" ref="F205">_xlfn.XLOOKUP(C205,customers!A$1:$A$1001,customers!$B$1:$B$1001,0)</f>
        <v>Vanna Le - Count</v>
      </c>
      <c r="G205" s="2" t="str">
        <f>IF(_xlfn.XLOOKUP(C205,customers!$A$1:$A$1001,customers!$C$1:$C$1001,0)=0,"",_xlfn.XLOOKUP(C205,customers!$A$1:$A$1001,customers!$C$1:$C$1001))</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6">
        <f>INDEX(products!$A$1:$G$49,MATCH(orders!$D205,products!$A$1:$A$49,0),MATCH(orders!L$1,products!$A$1:$G$1,0))</f>
        <v>4.7549999999999999</v>
      </c>
      <c r="M205" s="6">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cm="1">
        <f t="array" ref="F206">_xlfn.XLOOKUP(C206,customers!A$1:$A$1001,customers!$B$1:$B$1001,0)</f>
        <v>Sarette Ducarel</v>
      </c>
      <c r="G206" s="2" t="str">
        <f>IF(_xlfn.XLOOKUP(C206,customers!$A$1:$A$1001,customers!$C$1:$C$1001,0)=0,"",_xlfn.XLOOKUP(C206,customers!$A$1:$A$1001,customers!$C$1:$C$1001))</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6">
        <f>INDEX(products!$A$1:$G$49,MATCH(orders!$D206,products!$A$1:$A$49,0),MATCH(orders!L$1,products!$A$1:$G$1,0))</f>
        <v>13.75</v>
      </c>
      <c r="M206" s="6">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cm="1">
        <f t="array" ref="F207">_xlfn.XLOOKUP(C207,customers!A$1:$A$1001,customers!$B$1:$B$1001,0)</f>
        <v>Kendra Glison</v>
      </c>
      <c r="G207" s="2" t="str">
        <f>IF(_xlfn.XLOOKUP(C207,customers!$A$1:$A$1001,customers!$C$1:$C$1001,0)=0,"",_xlfn.XLOOKUP(C207,customers!$A$1:$A$1001,customers!$C$1:$C$1001))</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6">
        <f>INDEX(products!$A$1:$G$49,MATCH(orders!$D207,products!$A$1:$A$49,0),MATCH(orders!L$1,products!$A$1:$G$1,0))</f>
        <v>2.6849999999999996</v>
      </c>
      <c r="M207" s="6">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cm="1">
        <f t="array" ref="F208">_xlfn.XLOOKUP(C208,customers!A$1:$A$1001,customers!$B$1:$B$1001,0)</f>
        <v>Nertie Poolman</v>
      </c>
      <c r="G208" s="2" t="str">
        <f>IF(_xlfn.XLOOKUP(C208,customers!$A$1:$A$1001,customers!$C$1:$C$1001,0)=0,"",_xlfn.XLOOKUP(C208,customers!$A$1:$A$1001,customers!$C$1:$C$1001))</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6">
        <f>INDEX(products!$A$1:$G$49,MATCH(orders!$D208,products!$A$1:$A$49,0),MATCH(orders!L$1,products!$A$1:$G$1,0))</f>
        <v>11.25</v>
      </c>
      <c r="M208" s="6">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cm="1">
        <f t="array" ref="F209">_xlfn.XLOOKUP(C209,customers!A$1:$A$1001,customers!$B$1:$B$1001,0)</f>
        <v>Orbadiah Duny</v>
      </c>
      <c r="G209" s="2" t="str">
        <f>IF(_xlfn.XLOOKUP(C209,customers!$A$1:$A$1001,customers!$C$1:$C$1001,0)=0,"",_xlfn.XLOOKUP(C209,customers!$A$1:$A$1001,customers!$C$1:$C$1001))</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6">
        <f>INDEX(products!$A$1:$G$49,MATCH(orders!$D209,products!$A$1:$A$49,0),MATCH(orders!L$1,products!$A$1:$G$1,0))</f>
        <v>6.75</v>
      </c>
      <c r="M209" s="6">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cm="1">
        <f t="array" ref="F210">_xlfn.XLOOKUP(C210,customers!A$1:$A$1001,customers!$B$1:$B$1001,0)</f>
        <v>Constance Halfhide</v>
      </c>
      <c r="G210" s="2" t="str">
        <f>IF(_xlfn.XLOOKUP(C210,customers!$A$1:$A$1001,customers!$C$1:$C$1001,0)=0,"",_xlfn.XLOOKUP(C210,customers!$A$1:$A$1001,customers!$C$1:$C$1001))</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6">
        <f>INDEX(products!$A$1:$G$49,MATCH(orders!$D210,products!$A$1:$A$49,0),MATCH(orders!L$1,products!$A$1:$G$1,0))</f>
        <v>7.29</v>
      </c>
      <c r="M210" s="6">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cm="1">
        <f t="array" ref="F211">_xlfn.XLOOKUP(C211,customers!A$1:$A$1001,customers!$B$1:$B$1001,0)</f>
        <v>Fransisco Malecky</v>
      </c>
      <c r="G211" s="2" t="str">
        <f>IF(_xlfn.XLOOKUP(C211,customers!$A$1:$A$1001,customers!$C$1:$C$1001,0)=0,"",_xlfn.XLOOKUP(C211,customers!$A$1:$A$1001,customers!$C$1:$C$1001))</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6">
        <f>INDEX(products!$A$1:$G$49,MATCH(orders!$D211,products!$A$1:$A$49,0),MATCH(orders!L$1,products!$A$1:$G$1,0))</f>
        <v>6.75</v>
      </c>
      <c r="M211" s="6">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cm="1">
        <f t="array" ref="F212">_xlfn.XLOOKUP(C212,customers!A$1:$A$1001,customers!$B$1:$B$1001,0)</f>
        <v>Anselma Attwater</v>
      </c>
      <c r="G212" s="2" t="str">
        <f>IF(_xlfn.XLOOKUP(C212,customers!$A$1:$A$1001,customers!$C$1:$C$1001,0)=0,"",_xlfn.XLOOKUP(C212,customers!$A$1:$A$1001,customers!$C$1:$C$1001))</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6">
        <f>INDEX(products!$A$1:$G$49,MATCH(orders!$D212,products!$A$1:$A$49,0),MATCH(orders!L$1,products!$A$1:$G$1,0))</f>
        <v>12.95</v>
      </c>
      <c r="M212" s="6">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cm="1">
        <f t="array" ref="F213">_xlfn.XLOOKUP(C213,customers!A$1:$A$1001,customers!$B$1:$B$1001,0)</f>
        <v>Minette Whellans</v>
      </c>
      <c r="G213" s="2" t="str">
        <f>IF(_xlfn.XLOOKUP(C213,customers!$A$1:$A$1001,customers!$C$1:$C$1001,0)=0,"",_xlfn.XLOOKUP(C213,customers!$A$1:$A$1001,customers!$C$1:$C$1001))</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6">
        <f>INDEX(products!$A$1:$G$49,MATCH(orders!$D213,products!$A$1:$A$49,0),MATCH(orders!L$1,products!$A$1:$G$1,0))</f>
        <v>8.91</v>
      </c>
      <c r="M213" s="6">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cm="1">
        <f t="array" ref="F214">_xlfn.XLOOKUP(C214,customers!A$1:$A$1001,customers!$B$1:$B$1001,0)</f>
        <v>Dael Camilletti</v>
      </c>
      <c r="G214" s="2" t="str">
        <f>IF(_xlfn.XLOOKUP(C214,customers!$A$1:$A$1001,customers!$C$1:$C$1001,0)=0,"",_xlfn.XLOOKUP(C214,customers!$A$1:$A$1001,customers!$C$1:$C$1001))</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6">
        <f>INDEX(products!$A$1:$G$49,MATCH(orders!$D214,products!$A$1:$A$49,0),MATCH(orders!L$1,products!$A$1:$G$1,0))</f>
        <v>3.645</v>
      </c>
      <c r="M214" s="6">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cm="1">
        <f t="array" ref="F215">_xlfn.XLOOKUP(C215,customers!A$1:$A$1001,customers!$B$1:$B$1001,0)</f>
        <v>Emiline Galgey</v>
      </c>
      <c r="G215" s="2" t="str">
        <f>IF(_xlfn.XLOOKUP(C215,customers!$A$1:$A$1001,customers!$C$1:$C$1001,0)=0,"",_xlfn.XLOOKUP(C215,customers!$A$1:$A$1001,customers!$C$1:$C$1001))</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6">
        <f>INDEX(products!$A$1:$G$49,MATCH(orders!$D215,products!$A$1:$A$49,0),MATCH(orders!L$1,products!$A$1:$G$1,0))</f>
        <v>20.584999999999997</v>
      </c>
      <c r="M215" s="6">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cm="1">
        <f t="array" ref="F216">_xlfn.XLOOKUP(C216,customers!A$1:$A$1001,customers!$B$1:$B$1001,0)</f>
        <v>Murdock Hame</v>
      </c>
      <c r="G216" s="2" t="str">
        <f>IF(_xlfn.XLOOKUP(C216,customers!$A$1:$A$1001,customers!$C$1:$C$1001,0)=0,"",_xlfn.XLOOKUP(C216,customers!$A$1:$A$1001,customers!$C$1:$C$1001))</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6">
        <f>INDEX(products!$A$1:$G$49,MATCH(orders!$D216,products!$A$1:$A$49,0),MATCH(orders!L$1,products!$A$1:$G$1,0))</f>
        <v>15.85</v>
      </c>
      <c r="M216" s="6">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cm="1">
        <f t="array" ref="F217">_xlfn.XLOOKUP(C217,customers!A$1:$A$1001,customers!$B$1:$B$1001,0)</f>
        <v>Ilka Gurnee</v>
      </c>
      <c r="G217" s="2" t="str">
        <f>IF(_xlfn.XLOOKUP(C217,customers!$A$1:$A$1001,customers!$C$1:$C$1001,0)=0,"",_xlfn.XLOOKUP(C217,customers!$A$1:$A$1001,customers!$C$1:$C$1001))</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6">
        <f>INDEX(products!$A$1:$G$49,MATCH(orders!$D217,products!$A$1:$A$49,0),MATCH(orders!L$1,products!$A$1:$G$1,0))</f>
        <v>3.8849999999999998</v>
      </c>
      <c r="M217" s="6">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cm="1">
        <f t="array" ref="F218">_xlfn.XLOOKUP(C218,customers!A$1:$A$1001,customers!$B$1:$B$1001,0)</f>
        <v>Alfy Snowding</v>
      </c>
      <c r="G218" s="2" t="str">
        <f>IF(_xlfn.XLOOKUP(C218,customers!$A$1:$A$1001,customers!$C$1:$C$1001,0)=0,"",_xlfn.XLOOKUP(C218,customers!$A$1:$A$1001,customers!$C$1:$C$1001))</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6">
        <f>INDEX(products!$A$1:$G$49,MATCH(orders!$D218,products!$A$1:$A$49,0),MATCH(orders!L$1,products!$A$1:$G$1,0))</f>
        <v>14.55</v>
      </c>
      <c r="M218" s="6">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cm="1">
        <f t="array" ref="F219">_xlfn.XLOOKUP(C219,customers!A$1:$A$1001,customers!$B$1:$B$1001,0)</f>
        <v>Godfry Poinsett</v>
      </c>
      <c r="G219" s="2" t="str">
        <f>IF(_xlfn.XLOOKUP(C219,customers!$A$1:$A$1001,customers!$C$1:$C$1001,0)=0,"",_xlfn.XLOOKUP(C219,customers!$A$1:$A$1001,customers!$C$1:$C$1001))</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6">
        <f>INDEX(products!$A$1:$G$49,MATCH(orders!$D219,products!$A$1:$A$49,0),MATCH(orders!L$1,products!$A$1:$G$1,0))</f>
        <v>8.91</v>
      </c>
      <c r="M219" s="6">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cm="1">
        <f t="array" ref="F220">_xlfn.XLOOKUP(C220,customers!A$1:$A$1001,customers!$B$1:$B$1001,0)</f>
        <v>Rem Furman</v>
      </c>
      <c r="G220" s="2" t="str">
        <f>IF(_xlfn.XLOOKUP(C220,customers!$A$1:$A$1001,customers!$C$1:$C$1001,0)=0,"",_xlfn.XLOOKUP(C220,customers!$A$1:$A$1001,customers!$C$1:$C$1001))</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6">
        <f>INDEX(products!$A$1:$G$49,MATCH(orders!$D220,products!$A$1:$A$49,0),MATCH(orders!L$1,products!$A$1:$G$1,0))</f>
        <v>11.25</v>
      </c>
      <c r="M220" s="6">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cm="1">
        <f t="array" ref="F221">_xlfn.XLOOKUP(C221,customers!A$1:$A$1001,customers!$B$1:$B$1001,0)</f>
        <v>Charis Crosier</v>
      </c>
      <c r="G221" s="2" t="str">
        <f>IF(_xlfn.XLOOKUP(C221,customers!$A$1:$A$1001,customers!$C$1:$C$1001,0)=0,"",_xlfn.XLOOKUP(C221,customers!$A$1:$A$1001,customers!$C$1:$C$1001))</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6">
        <f>INDEX(products!$A$1:$G$49,MATCH(orders!$D221,products!$A$1:$A$49,0),MATCH(orders!L$1,products!$A$1:$G$1,0))</f>
        <v>3.5849999999999995</v>
      </c>
      <c r="M221" s="6">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cm="1">
        <f t="array" ref="F222">_xlfn.XLOOKUP(C222,customers!A$1:$A$1001,customers!$B$1:$B$1001,0)</f>
        <v>Charis Crosier</v>
      </c>
      <c r="G222" s="2" t="str">
        <f>IF(_xlfn.XLOOKUP(C222,customers!$A$1:$A$1001,customers!$C$1:$C$1001,0)=0,"",_xlfn.XLOOKUP(C222,customers!$A$1:$A$1001,customers!$C$1:$C$1001))</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6">
        <f>INDEX(products!$A$1:$G$49,MATCH(orders!$D222,products!$A$1:$A$49,0),MATCH(orders!L$1,products!$A$1:$G$1,0))</f>
        <v>2.9849999999999999</v>
      </c>
      <c r="M222" s="6">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cm="1">
        <f t="array" ref="F223">_xlfn.XLOOKUP(C223,customers!A$1:$A$1001,customers!$B$1:$B$1001,0)</f>
        <v>Lenka Rushmer</v>
      </c>
      <c r="G223" s="2" t="str">
        <f>IF(_xlfn.XLOOKUP(C223,customers!$A$1:$A$1001,customers!$C$1:$C$1001,0)=0,"",_xlfn.XLOOKUP(C223,customers!$A$1:$A$1001,customers!$C$1:$C$1001))</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6">
        <f>INDEX(products!$A$1:$G$49,MATCH(orders!$D223,products!$A$1:$A$49,0),MATCH(orders!L$1,products!$A$1:$G$1,0))</f>
        <v>12.95</v>
      </c>
      <c r="M223" s="6">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cm="1">
        <f t="array" ref="F224">_xlfn.XLOOKUP(C224,customers!A$1:$A$1001,customers!$B$1:$B$1001,0)</f>
        <v>Waneta Edinborough</v>
      </c>
      <c r="G224" s="2" t="str">
        <f>IF(_xlfn.XLOOKUP(C224,customers!$A$1:$A$1001,customers!$C$1:$C$1001,0)=0,"",_xlfn.XLOOKUP(C224,customers!$A$1:$A$1001,customers!$C$1:$C$1001))</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6">
        <f>INDEX(products!$A$1:$G$49,MATCH(orders!$D224,products!$A$1:$A$49,0),MATCH(orders!L$1,products!$A$1:$G$1,0))</f>
        <v>7.77</v>
      </c>
      <c r="M224" s="6">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cm="1">
        <f t="array" ref="F225">_xlfn.XLOOKUP(C225,customers!A$1:$A$1001,customers!$B$1:$B$1001,0)</f>
        <v>Bobbe Piggott</v>
      </c>
      <c r="G225" s="2" t="str">
        <f>IF(_xlfn.XLOOKUP(C225,customers!$A$1:$A$1001,customers!$C$1:$C$1001,0)=0,"",_xlfn.XLOOKUP(C225,customers!$A$1:$A$1001,customers!$C$1:$C$1001))</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6">
        <f>INDEX(products!$A$1:$G$49,MATCH(orders!$D225,products!$A$1:$A$49,0),MATCH(orders!L$1,products!$A$1:$G$1,0))</f>
        <v>14.85</v>
      </c>
      <c r="M225" s="6">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cm="1">
        <f t="array" ref="F226">_xlfn.XLOOKUP(C226,customers!A$1:$A$1001,customers!$B$1:$B$1001,0)</f>
        <v>Ketty Bromehead</v>
      </c>
      <c r="G226" s="2" t="str">
        <f>IF(_xlfn.XLOOKUP(C226,customers!$A$1:$A$1001,customers!$C$1:$C$1001,0)=0,"",_xlfn.XLOOKUP(C226,customers!$A$1:$A$1001,customers!$C$1:$C$1001))</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6">
        <f>INDEX(products!$A$1:$G$49,MATCH(orders!$D226,products!$A$1:$A$49,0),MATCH(orders!L$1,products!$A$1:$G$1,0))</f>
        <v>29.784999999999997</v>
      </c>
      <c r="M226" s="6">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cm="1">
        <f t="array" ref="F227">_xlfn.XLOOKUP(C227,customers!A$1:$A$1001,customers!$B$1:$B$1001,0)</f>
        <v>Elsbeth Westerman</v>
      </c>
      <c r="G227" s="2" t="str">
        <f>IF(_xlfn.XLOOKUP(C227,customers!$A$1:$A$1001,customers!$C$1:$C$1001,0)=0,"",_xlfn.XLOOKUP(C227,customers!$A$1:$A$1001,customers!$C$1:$C$1001))</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6">
        <f>INDEX(products!$A$1:$G$49,MATCH(orders!$D227,products!$A$1:$A$49,0),MATCH(orders!L$1,products!$A$1:$G$1,0))</f>
        <v>3.5849999999999995</v>
      </c>
      <c r="M227" s="6">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cm="1">
        <f t="array" ref="F228">_xlfn.XLOOKUP(C228,customers!A$1:$A$1001,customers!$B$1:$B$1001,0)</f>
        <v>Anabelle Hutchens</v>
      </c>
      <c r="G228" s="2" t="str">
        <f>IF(_xlfn.XLOOKUP(C228,customers!$A$1:$A$1001,customers!$C$1:$C$1001,0)=0,"",_xlfn.XLOOKUP(C228,customers!$A$1:$A$1001,customers!$C$1:$C$1001))</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6">
        <f>INDEX(products!$A$1:$G$49,MATCH(orders!$D228,products!$A$1:$A$49,0),MATCH(orders!L$1,products!$A$1:$G$1,0))</f>
        <v>25.874999999999996</v>
      </c>
      <c r="M228" s="6">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cm="1">
        <f t="array" ref="F229">_xlfn.XLOOKUP(C229,customers!A$1:$A$1001,customers!$B$1:$B$1001,0)</f>
        <v>Noak Wyvill</v>
      </c>
      <c r="G229" s="2" t="str">
        <f>IF(_xlfn.XLOOKUP(C229,customers!$A$1:$A$1001,customers!$C$1:$C$1001,0)=0,"",_xlfn.XLOOKUP(C229,customers!$A$1:$A$1001,customers!$C$1:$C$1001))</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6">
        <f>INDEX(products!$A$1:$G$49,MATCH(orders!$D229,products!$A$1:$A$49,0),MATCH(orders!L$1,products!$A$1:$G$1,0))</f>
        <v>2.6849999999999996</v>
      </c>
      <c r="M229" s="6">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cm="1">
        <f t="array" ref="F230">_xlfn.XLOOKUP(C230,customers!A$1:$A$1001,customers!$B$1:$B$1001,0)</f>
        <v>Beltran Mathon</v>
      </c>
      <c r="G230" s="2" t="str">
        <f>IF(_xlfn.XLOOKUP(C230,customers!$A$1:$A$1001,customers!$C$1:$C$1001,0)=0,"",_xlfn.XLOOKUP(C230,customers!$A$1:$A$1001,customers!$C$1:$C$1001))</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6">
        <f>INDEX(products!$A$1:$G$49,MATCH(orders!$D230,products!$A$1:$A$49,0),MATCH(orders!L$1,products!$A$1:$G$1,0))</f>
        <v>3.5849999999999995</v>
      </c>
      <c r="M230" s="6">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cm="1">
        <f t="array" ref="F231">_xlfn.XLOOKUP(C231,customers!A$1:$A$1001,customers!$B$1:$B$1001,0)</f>
        <v>Kristos Streight</v>
      </c>
      <c r="G231" s="2" t="str">
        <f>IF(_xlfn.XLOOKUP(C231,customers!$A$1:$A$1001,customers!$C$1:$C$1001,0)=0,"",_xlfn.XLOOKUP(C231,customers!$A$1:$A$1001,customers!$C$1:$C$1001))</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6">
        <f>INDEX(products!$A$1:$G$49,MATCH(orders!$D231,products!$A$1:$A$49,0),MATCH(orders!L$1,products!$A$1:$G$1,0))</f>
        <v>4.3650000000000002</v>
      </c>
      <c r="M231" s="6">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cm="1">
        <f t="array" ref="F232">_xlfn.XLOOKUP(C232,customers!A$1:$A$1001,customers!$B$1:$B$1001,0)</f>
        <v>Portie Cutchie</v>
      </c>
      <c r="G232" s="2" t="str">
        <f>IF(_xlfn.XLOOKUP(C232,customers!$A$1:$A$1001,customers!$C$1:$C$1001,0)=0,"",_xlfn.XLOOKUP(C232,customers!$A$1:$A$1001,customers!$C$1:$C$1001))</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6">
        <f>INDEX(products!$A$1:$G$49,MATCH(orders!$D232,products!$A$1:$A$49,0),MATCH(orders!L$1,products!$A$1:$G$1,0))</f>
        <v>25.874999999999996</v>
      </c>
      <c r="M232" s="6">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cm="1">
        <f t="array" ref="F233">_xlfn.XLOOKUP(C233,customers!A$1:$A$1001,customers!$B$1:$B$1001,0)</f>
        <v>Sinclare Edsell</v>
      </c>
      <c r="G233" s="2" t="str">
        <f>IF(_xlfn.XLOOKUP(C233,customers!$A$1:$A$1001,customers!$C$1:$C$1001,0)=0,"",_xlfn.XLOOKUP(C233,customers!$A$1:$A$1001,customers!$C$1:$C$1001))</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6">
        <f>INDEX(products!$A$1:$G$49,MATCH(orders!$D233,products!$A$1:$A$49,0),MATCH(orders!L$1,products!$A$1:$G$1,0))</f>
        <v>4.3650000000000002</v>
      </c>
      <c r="M233" s="6">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cm="1">
        <f t="array" ref="F234">_xlfn.XLOOKUP(C234,customers!A$1:$A$1001,customers!$B$1:$B$1001,0)</f>
        <v>Conny Gheraldi</v>
      </c>
      <c r="G234" s="2" t="str">
        <f>IF(_xlfn.XLOOKUP(C234,customers!$A$1:$A$1001,customers!$C$1:$C$1001,0)=0,"",_xlfn.XLOOKUP(C234,customers!$A$1:$A$1001,customers!$C$1:$C$1001))</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6">
        <f>INDEX(products!$A$1:$G$49,MATCH(orders!$D234,products!$A$1:$A$49,0),MATCH(orders!L$1,products!$A$1:$G$1,0))</f>
        <v>4.7549999999999999</v>
      </c>
      <c r="M234" s="6">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cm="1">
        <f t="array" ref="F235">_xlfn.XLOOKUP(C235,customers!A$1:$A$1001,customers!$B$1:$B$1001,0)</f>
        <v>Beryle Kenwell</v>
      </c>
      <c r="G235" s="2" t="str">
        <f>IF(_xlfn.XLOOKUP(C235,customers!$A$1:$A$1001,customers!$C$1:$C$1001,0)=0,"",_xlfn.XLOOKUP(C235,customers!$A$1:$A$1001,customers!$C$1:$C$1001))</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6">
        <f>INDEX(products!$A$1:$G$49,MATCH(orders!$D235,products!$A$1:$A$49,0),MATCH(orders!L$1,products!$A$1:$G$1,0))</f>
        <v>4.125</v>
      </c>
      <c r="M235" s="6">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cm="1">
        <f t="array" ref="F236">_xlfn.XLOOKUP(C236,customers!A$1:$A$1001,customers!$B$1:$B$1001,0)</f>
        <v>Tomas Sutty</v>
      </c>
      <c r="G236" s="2" t="str">
        <f>IF(_xlfn.XLOOKUP(C236,customers!$A$1:$A$1001,customers!$C$1:$C$1001,0)=0,"",_xlfn.XLOOKUP(C236,customers!$A$1:$A$1001,customers!$C$1:$C$1001))</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6">
        <f>INDEX(products!$A$1:$G$49,MATCH(orders!$D236,products!$A$1:$A$49,0),MATCH(orders!L$1,products!$A$1:$G$1,0))</f>
        <v>36.454999999999998</v>
      </c>
      <c r="M236" s="6">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cm="1">
        <f t="array" ref="F237">_xlfn.XLOOKUP(C237,customers!A$1:$A$1001,customers!$B$1:$B$1001,0)</f>
        <v>Samuele Ales0</v>
      </c>
      <c r="G237" s="2" t="str">
        <f>IF(_xlfn.XLOOKUP(C237,customers!$A$1:$A$1001,customers!$C$1:$C$1001,0)=0,"",_xlfn.XLOOKUP(C237,customers!$A$1:$A$1001,customers!$C$1:$C$1001))</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6">
        <f>INDEX(products!$A$1:$G$49,MATCH(orders!$D237,products!$A$1:$A$49,0),MATCH(orders!L$1,products!$A$1:$G$1,0))</f>
        <v>36.454999999999998</v>
      </c>
      <c r="M237" s="6">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cm="1">
        <f t="array" ref="F238">_xlfn.XLOOKUP(C238,customers!A$1:$A$1001,customers!$B$1:$B$1001,0)</f>
        <v>Carlie Harce</v>
      </c>
      <c r="G238" s="2" t="str">
        <f>IF(_xlfn.XLOOKUP(C238,customers!$A$1:$A$1001,customers!$C$1:$C$1001,0)=0,"",_xlfn.XLOOKUP(C238,customers!$A$1:$A$1001,customers!$C$1:$C$1001))</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6">
        <f>INDEX(products!$A$1:$G$49,MATCH(orders!$D238,products!$A$1:$A$49,0),MATCH(orders!L$1,products!$A$1:$G$1,0))</f>
        <v>29.784999999999997</v>
      </c>
      <c r="M238" s="6">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cm="1">
        <f t="array" ref="F239">_xlfn.XLOOKUP(C239,customers!A$1:$A$1001,customers!$B$1:$B$1001,0)</f>
        <v>Craggy Bril</v>
      </c>
      <c r="G239" s="2" t="str">
        <f>IF(_xlfn.XLOOKUP(C239,customers!$A$1:$A$1001,customers!$C$1:$C$1001,0)=0,"",_xlfn.XLOOKUP(C239,customers!$A$1:$A$1001,customers!$C$1:$C$1001))</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6">
        <f>INDEX(products!$A$1:$G$49,MATCH(orders!$D239,products!$A$1:$A$49,0),MATCH(orders!L$1,products!$A$1:$G$1,0))</f>
        <v>3.5849999999999995</v>
      </c>
      <c r="M239" s="6">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cm="1">
        <f t="array" ref="F240">_xlfn.XLOOKUP(C240,customers!A$1:$A$1001,customers!$B$1:$B$1001,0)</f>
        <v>Friederike Drysdale</v>
      </c>
      <c r="G240" s="2" t="str">
        <f>IF(_xlfn.XLOOKUP(C240,customers!$A$1:$A$1001,customers!$C$1:$C$1001,0)=0,"",_xlfn.XLOOKUP(C240,customers!$A$1:$A$1001,customers!$C$1:$C$1001))</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6">
        <f>INDEX(products!$A$1:$G$49,MATCH(orders!$D240,products!$A$1:$A$49,0),MATCH(orders!L$1,products!$A$1:$G$1,0))</f>
        <v>22.884999999999998</v>
      </c>
      <c r="M240" s="6">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cm="1">
        <f t="array" ref="F241">_xlfn.XLOOKUP(C241,customers!A$1:$A$1001,customers!$B$1:$B$1001,0)</f>
        <v>Devon Magowan</v>
      </c>
      <c r="G241" s="2" t="str">
        <f>IF(_xlfn.XLOOKUP(C241,customers!$A$1:$A$1001,customers!$C$1:$C$1001,0)=0,"",_xlfn.XLOOKUP(C241,customers!$A$1:$A$1001,customers!$C$1:$C$1001))</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6">
        <f>INDEX(products!$A$1:$G$49,MATCH(orders!$D241,products!$A$1:$A$49,0),MATCH(orders!L$1,products!$A$1:$G$1,0))</f>
        <v>14.85</v>
      </c>
      <c r="M241" s="6">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cm="1">
        <f t="array" ref="F242">_xlfn.XLOOKUP(C242,customers!A$1:$A$1001,customers!$B$1:$B$1001,0)</f>
        <v>Codi Littrell</v>
      </c>
      <c r="G242" s="2" t="str">
        <f>IF(_xlfn.XLOOKUP(C242,customers!$A$1:$A$1001,customers!$C$1:$C$1001,0)=0,"",_xlfn.XLOOKUP(C242,customers!$A$1:$A$1001,customers!$C$1:$C$1001))</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6">
        <f>INDEX(products!$A$1:$G$49,MATCH(orders!$D242,products!$A$1:$A$49,0),MATCH(orders!L$1,products!$A$1:$G$1,0))</f>
        <v>25.874999999999996</v>
      </c>
      <c r="M242" s="6">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cm="1">
        <f t="array" ref="F243">_xlfn.XLOOKUP(C243,customers!A$1:$A$1001,customers!$B$1:$B$1001,0)</f>
        <v>Christel Speak</v>
      </c>
      <c r="G243" s="2" t="str">
        <f>IF(_xlfn.XLOOKUP(C243,customers!$A$1:$A$1001,customers!$C$1:$C$1001,0)=0,"",_xlfn.XLOOKUP(C243,customers!$A$1:$A$1001,customers!$C$1:$C$1001))</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6">
        <f>INDEX(products!$A$1:$G$49,MATCH(orders!$D243,products!$A$1:$A$49,0),MATCH(orders!L$1,products!$A$1:$G$1,0))</f>
        <v>22.884999999999998</v>
      </c>
      <c r="M243" s="6">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cm="1">
        <f t="array" ref="F244">_xlfn.XLOOKUP(C244,customers!A$1:$A$1001,customers!$B$1:$B$1001,0)</f>
        <v>Sibella Rushbrooke</v>
      </c>
      <c r="G244" s="2" t="str">
        <f>IF(_xlfn.XLOOKUP(C244,customers!$A$1:$A$1001,customers!$C$1:$C$1001,0)=0,"",_xlfn.XLOOKUP(C244,customers!$A$1:$A$1001,customers!$C$1:$C$1001))</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6">
        <f>INDEX(products!$A$1:$G$49,MATCH(orders!$D244,products!$A$1:$A$49,0),MATCH(orders!L$1,products!$A$1:$G$1,0))</f>
        <v>12.15</v>
      </c>
      <c r="M244" s="6">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cm="1">
        <f t="array" ref="F245">_xlfn.XLOOKUP(C245,customers!A$1:$A$1001,customers!$B$1:$B$1001,0)</f>
        <v>Tammie Drynan</v>
      </c>
      <c r="G245" s="2" t="str">
        <f>IF(_xlfn.XLOOKUP(C245,customers!$A$1:$A$1001,customers!$C$1:$C$1001,0)=0,"",_xlfn.XLOOKUP(C245,customers!$A$1:$A$1001,customers!$C$1:$C$1001))</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6">
        <f>INDEX(products!$A$1:$G$49,MATCH(orders!$D245,products!$A$1:$A$49,0),MATCH(orders!L$1,products!$A$1:$G$1,0))</f>
        <v>7.29</v>
      </c>
      <c r="M245" s="6">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cm="1">
        <f t="array" ref="F246">_xlfn.XLOOKUP(C246,customers!A$1:$A$1001,customers!$B$1:$B$1001,0)</f>
        <v>Effie Yurkov</v>
      </c>
      <c r="G246" s="2" t="str">
        <f>IF(_xlfn.XLOOKUP(C246,customers!$A$1:$A$1001,customers!$C$1:$C$1001,0)=0,"",_xlfn.XLOOKUP(C246,customers!$A$1:$A$1001,customers!$C$1:$C$1001))</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6">
        <f>INDEX(products!$A$1:$G$49,MATCH(orders!$D246,products!$A$1:$A$49,0),MATCH(orders!L$1,products!$A$1:$G$1,0))</f>
        <v>33.464999999999996</v>
      </c>
      <c r="M246" s="6">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cm="1">
        <f t="array" ref="F247">_xlfn.XLOOKUP(C247,customers!A$1:$A$1001,customers!$B$1:$B$1001,0)</f>
        <v>Lexie Mallan</v>
      </c>
      <c r="G247" s="2" t="str">
        <f>IF(_xlfn.XLOOKUP(C247,customers!$A$1:$A$1001,customers!$C$1:$C$1001,0)=0,"",_xlfn.XLOOKUP(C247,customers!$A$1:$A$1001,customers!$C$1:$C$1001))</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6">
        <f>INDEX(products!$A$1:$G$49,MATCH(orders!$D247,products!$A$1:$A$49,0),MATCH(orders!L$1,products!$A$1:$G$1,0))</f>
        <v>4.7549999999999999</v>
      </c>
      <c r="M247" s="6">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cm="1">
        <f t="array" ref="F248">_xlfn.XLOOKUP(C248,customers!A$1:$A$1001,customers!$B$1:$B$1001,0)</f>
        <v>Georgena Bentjens</v>
      </c>
      <c r="G248" s="2" t="str">
        <f>IF(_xlfn.XLOOKUP(C248,customers!$A$1:$A$1001,customers!$C$1:$C$1001,0)=0,"",_xlfn.XLOOKUP(C248,customers!$A$1:$A$1001,customers!$C$1:$C$1001))</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6">
        <f>INDEX(products!$A$1:$G$49,MATCH(orders!$D248,products!$A$1:$A$49,0),MATCH(orders!L$1,products!$A$1:$G$1,0))</f>
        <v>12.95</v>
      </c>
      <c r="M248" s="6">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cm="1">
        <f t="array" ref="F249">_xlfn.XLOOKUP(C249,customers!A$1:$A$1001,customers!$B$1:$B$1001,0)</f>
        <v>Delmar Beasant</v>
      </c>
      <c r="G249" s="2" t="str">
        <f>IF(_xlfn.XLOOKUP(C249,customers!$A$1:$A$1001,customers!$C$1:$C$1001,0)=0,"",_xlfn.XLOOKUP(C249,customers!$A$1:$A$1001,customers!$C$1:$C$1001))</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6">
        <f>INDEX(products!$A$1:$G$49,MATCH(orders!$D249,products!$A$1:$A$49,0),MATCH(orders!L$1,products!$A$1:$G$1,0))</f>
        <v>3.5849999999999995</v>
      </c>
      <c r="M249" s="6">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cm="1">
        <f t="array" ref="F250">_xlfn.XLOOKUP(C250,customers!A$1:$A$1001,customers!$B$1:$B$1001,0)</f>
        <v>Lyn Entwistle</v>
      </c>
      <c r="G250" s="2" t="str">
        <f>IF(_xlfn.XLOOKUP(C250,customers!$A$1:$A$1001,customers!$C$1:$C$1001,0)=0,"",_xlfn.XLOOKUP(C250,customers!$A$1:$A$1001,customers!$C$1:$C$1001))</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6">
        <f>INDEX(products!$A$1:$G$49,MATCH(orders!$D250,products!$A$1:$A$49,0),MATCH(orders!L$1,products!$A$1:$G$1,0))</f>
        <v>9.9499999999999993</v>
      </c>
      <c r="M250" s="6">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cm="1">
        <f t="array" ref="F251">_xlfn.XLOOKUP(C251,customers!A$1:$A$1001,customers!$B$1:$B$1001,0)</f>
        <v>Zacharias Kiffe</v>
      </c>
      <c r="G251" s="2" t="str">
        <f>IF(_xlfn.XLOOKUP(C251,customers!$A$1:$A$1001,customers!$C$1:$C$1001,0)=0,"",_xlfn.XLOOKUP(C251,customers!$A$1:$A$1001,customers!$C$1:$C$1001))</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6">
        <f>INDEX(products!$A$1:$G$49,MATCH(orders!$D251,products!$A$1:$A$49,0),MATCH(orders!L$1,products!$A$1:$G$1,0))</f>
        <v>15.85</v>
      </c>
      <c r="M251" s="6">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cm="1">
        <f t="array" ref="F252">_xlfn.XLOOKUP(C252,customers!A$1:$A$1001,customers!$B$1:$B$1001,0)</f>
        <v>Mercedes Acott</v>
      </c>
      <c r="G252" s="2" t="str">
        <f>IF(_xlfn.XLOOKUP(C252,customers!$A$1:$A$1001,customers!$C$1:$C$1001,0)=0,"",_xlfn.XLOOKUP(C252,customers!$A$1:$A$1001,customers!$C$1:$C$1001))</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6">
        <f>INDEX(products!$A$1:$G$49,MATCH(orders!$D252,products!$A$1:$A$49,0),MATCH(orders!L$1,products!$A$1:$G$1,0))</f>
        <v>2.9849999999999999</v>
      </c>
      <c r="M252" s="6">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cm="1">
        <f t="array" ref="F253">_xlfn.XLOOKUP(C253,customers!A$1:$A$1001,customers!$B$1:$B$1001,0)</f>
        <v>Connor Heaviside</v>
      </c>
      <c r="G253" s="2" t="str">
        <f>IF(_xlfn.XLOOKUP(C253,customers!$A$1:$A$1001,customers!$C$1:$C$1001,0)=0,"",_xlfn.XLOOKUP(C253,customers!$A$1:$A$1001,customers!$C$1:$C$1001))</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6">
        <f>INDEX(products!$A$1:$G$49,MATCH(orders!$D253,products!$A$1:$A$49,0),MATCH(orders!L$1,products!$A$1:$G$1,0))</f>
        <v>13.75</v>
      </c>
      <c r="M253" s="6">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cm="1">
        <f t="array" ref="F254">_xlfn.XLOOKUP(C254,customers!A$1:$A$1001,customers!$B$1:$B$1001,0)</f>
        <v>Devy Bulbrook</v>
      </c>
      <c r="G254" s="2" t="str">
        <f>IF(_xlfn.XLOOKUP(C254,customers!$A$1:$A$1001,customers!$C$1:$C$1001,0)=0,"",_xlfn.XLOOKUP(C254,customers!$A$1:$A$1001,customers!$C$1:$C$1001))</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6">
        <f>INDEX(products!$A$1:$G$49,MATCH(orders!$D254,products!$A$1:$A$49,0),MATCH(orders!L$1,products!$A$1:$G$1,0))</f>
        <v>9.9499999999999993</v>
      </c>
      <c r="M254" s="6">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cm="1">
        <f t="array" ref="F255">_xlfn.XLOOKUP(C255,customers!A$1:$A$1001,customers!$B$1:$B$1001,0)</f>
        <v>Leia Kernan</v>
      </c>
      <c r="G255" s="2" t="str">
        <f>IF(_xlfn.XLOOKUP(C255,customers!$A$1:$A$1001,customers!$C$1:$C$1001,0)=0,"",_xlfn.XLOOKUP(C255,customers!$A$1:$A$1001,customers!$C$1:$C$1001))</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6">
        <f>INDEX(products!$A$1:$G$49,MATCH(orders!$D255,products!$A$1:$A$49,0),MATCH(orders!L$1,products!$A$1:$G$1,0))</f>
        <v>14.55</v>
      </c>
      <c r="M255" s="6">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cm="1">
        <f t="array" ref="F256">_xlfn.XLOOKUP(C256,customers!A$1:$A$1001,customers!$B$1:$B$1001,0)</f>
        <v>Rosaline McLae</v>
      </c>
      <c r="G256" s="2" t="str">
        <f>IF(_xlfn.XLOOKUP(C256,customers!$A$1:$A$1001,customers!$C$1:$C$1001,0)=0,"",_xlfn.XLOOKUP(C256,customers!$A$1:$A$1001,customers!$C$1:$C$1001))</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6">
        <f>INDEX(products!$A$1:$G$49,MATCH(orders!$D256,products!$A$1:$A$49,0),MATCH(orders!L$1,products!$A$1:$G$1,0))</f>
        <v>7.169999999999999</v>
      </c>
      <c r="M256" s="6">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cm="1">
        <f t="array" ref="F257">_xlfn.XLOOKUP(C257,customers!A$1:$A$1001,customers!$B$1:$B$1001,0)</f>
        <v>Cleve Blowfelde</v>
      </c>
      <c r="G257" s="2" t="str">
        <f>IF(_xlfn.XLOOKUP(C257,customers!$A$1:$A$1001,customers!$C$1:$C$1001,0)=0,"",_xlfn.XLOOKUP(C257,customers!$A$1:$A$1001,customers!$C$1:$C$1001))</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6">
        <f>INDEX(products!$A$1:$G$49,MATCH(orders!$D257,products!$A$1:$A$49,0),MATCH(orders!L$1,products!$A$1:$G$1,0))</f>
        <v>7.169999999999999</v>
      </c>
      <c r="M257" s="6">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cm="1">
        <f t="array" ref="F258">_xlfn.XLOOKUP(C258,customers!A$1:$A$1001,customers!$B$1:$B$1001,0)</f>
        <v>Zacharias Kiffe</v>
      </c>
      <c r="G258" s="2" t="str">
        <f>IF(_xlfn.XLOOKUP(C258,customers!$A$1:$A$1001,customers!$C$1:$C$1001,0)=0,"",_xlfn.XLOOKUP(C258,customers!$A$1:$A$1001,customers!$C$1:$C$1001))</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6">
        <f>INDEX(products!$A$1:$G$49,MATCH(orders!$D258,products!$A$1:$A$49,0),MATCH(orders!L$1,products!$A$1:$G$1,0))</f>
        <v>8.73</v>
      </c>
      <c r="M258" s="6">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cm="1">
        <f t="array" ref="F259">_xlfn.XLOOKUP(C259,customers!A$1:$A$1001,customers!$B$1:$B$1001,0)</f>
        <v>Denyse O'Calleran</v>
      </c>
      <c r="G259" s="2" t="str">
        <f>IF(_xlfn.XLOOKUP(C259,customers!$A$1:$A$1001,customers!$C$1:$C$1001,0)=0,"",_xlfn.XLOOKUP(C259,customers!$A$1:$A$1001,customers!$C$1:$C$1001))</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6">
        <f>INDEX(products!$A$1:$G$49,MATCH(orders!$D259,products!$A$1:$A$49,0),MATCH(orders!L$1,products!$A$1:$G$1,0))</f>
        <v>27.945</v>
      </c>
      <c r="M259" s="6">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cm="1">
        <f t="array" ref="F260">_xlfn.XLOOKUP(C260,customers!A$1:$A$1001,customers!$B$1:$B$1001,0)</f>
        <v>Cobby Cromwell</v>
      </c>
      <c r="G260" s="2" t="str">
        <f>IF(_xlfn.XLOOKUP(C260,customers!$A$1:$A$1001,customers!$C$1:$C$1001,0)=0,"",_xlfn.XLOOKUP(C260,customers!$A$1:$A$1001,customers!$C$1:$C$1001))</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6">
        <f>INDEX(products!$A$1:$G$49,MATCH(orders!$D260,products!$A$1:$A$49,0),MATCH(orders!L$1,products!$A$1:$G$1,0))</f>
        <v>27.945</v>
      </c>
      <c r="M260" s="6">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cm="1">
        <f t="array" ref="F261">_xlfn.XLOOKUP(C261,customers!A$1:$A$1001,customers!$B$1:$B$1001,0)</f>
        <v>Irv Hay</v>
      </c>
      <c r="G261" s="2" t="str">
        <f>IF(_xlfn.XLOOKUP(C261,customers!$A$1:$A$1001,customers!$C$1:$C$1001,0)=0,"",_xlfn.XLOOKUP(C261,customers!$A$1:$A$1001,customers!$C$1:$C$1001))</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6">
        <f>INDEX(products!$A$1:$G$49,MATCH(orders!$D261,products!$A$1:$A$49,0),MATCH(orders!L$1,products!$A$1:$G$1,0))</f>
        <v>2.9849999999999999</v>
      </c>
      <c r="M261" s="6">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cm="1">
        <f t="array" ref="F262">_xlfn.XLOOKUP(C262,customers!A$1:$A$1001,customers!$B$1:$B$1001,0)</f>
        <v>Tani Taffarello</v>
      </c>
      <c r="G262" s="2" t="str">
        <f>IF(_xlfn.XLOOKUP(C262,customers!$A$1:$A$1001,customers!$C$1:$C$1001,0)=0,"",_xlfn.XLOOKUP(C262,customers!$A$1:$A$1001,customers!$C$1:$C$1001))</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6">
        <f>INDEX(products!$A$1:$G$49,MATCH(orders!$D262,products!$A$1:$A$49,0),MATCH(orders!L$1,products!$A$1:$G$1,0))</f>
        <v>27.484999999999996</v>
      </c>
      <c r="M262" s="6">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cm="1">
        <f t="array" ref="F263">_xlfn.XLOOKUP(C263,customers!A$1:$A$1001,customers!$B$1:$B$1001,0)</f>
        <v>Monique Canty</v>
      </c>
      <c r="G263" s="2" t="str">
        <f>IF(_xlfn.XLOOKUP(C263,customers!$A$1:$A$1001,customers!$C$1:$C$1001,0)=0,"",_xlfn.XLOOKUP(C263,customers!$A$1:$A$1001,customers!$C$1:$C$1001))</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6">
        <f>INDEX(products!$A$1:$G$49,MATCH(orders!$D263,products!$A$1:$A$49,0),MATCH(orders!L$1,products!$A$1:$G$1,0))</f>
        <v>11.95</v>
      </c>
      <c r="M263" s="6">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cm="1">
        <f t="array" ref="F264">_xlfn.XLOOKUP(C264,customers!A$1:$A$1001,customers!$B$1:$B$1001,0)</f>
        <v>Javier Kopke</v>
      </c>
      <c r="G264" s="2" t="str">
        <f>IF(_xlfn.XLOOKUP(C264,customers!$A$1:$A$1001,customers!$C$1:$C$1001,0)=0,"",_xlfn.XLOOKUP(C264,customers!$A$1:$A$1001,customers!$C$1:$C$1001))</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6">
        <f>INDEX(products!$A$1:$G$49,MATCH(orders!$D264,products!$A$1:$A$49,0),MATCH(orders!L$1,products!$A$1:$G$1,0))</f>
        <v>13.75</v>
      </c>
      <c r="M264" s="6">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cm="1">
        <f t="array" ref="F265">_xlfn.XLOOKUP(C265,customers!A$1:$A$1001,customers!$B$1:$B$1001,0)</f>
        <v>Mar McIver</v>
      </c>
      <c r="G265" s="2" t="str">
        <f>IF(_xlfn.XLOOKUP(C265,customers!$A$1:$A$1001,customers!$C$1:$C$1001,0)=0,"",_xlfn.XLOOKUP(C265,customers!$A$1:$A$1001,customers!$C$1:$C$1001))</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6">
        <f>INDEX(products!$A$1:$G$49,MATCH(orders!$D265,products!$A$1:$A$49,0),MATCH(orders!L$1,products!$A$1:$G$1,0))</f>
        <v>33.464999999999996</v>
      </c>
      <c r="M265" s="6">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cm="1">
        <f t="array" ref="F266">_xlfn.XLOOKUP(C266,customers!A$1:$A$1001,customers!$B$1:$B$1001,0)</f>
        <v>Arabella Fransewich</v>
      </c>
      <c r="G266" s="2" t="str">
        <f>IF(_xlfn.XLOOKUP(C266,customers!$A$1:$A$1001,customers!$C$1:$C$1001,0)=0,"",_xlfn.XLOOKUP(C266,customers!$A$1:$A$1001,customers!$C$1:$C$1001))</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6">
        <f>INDEX(products!$A$1:$G$49,MATCH(orders!$D266,products!$A$1:$A$49,0),MATCH(orders!L$1,products!$A$1:$G$1,0))</f>
        <v>11.95</v>
      </c>
      <c r="M266" s="6">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cm="1">
        <f t="array" ref="F267">_xlfn.XLOOKUP(C267,customers!A$1:$A$1001,customers!$B$1:$B$1001,0)</f>
        <v>Violette Hellmore</v>
      </c>
      <c r="G267" s="2" t="str">
        <f>IF(_xlfn.XLOOKUP(C267,customers!$A$1:$A$1001,customers!$C$1:$C$1001,0)=0,"",_xlfn.XLOOKUP(C267,customers!$A$1:$A$1001,customers!$C$1:$C$1001))</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6">
        <f>INDEX(products!$A$1:$G$49,MATCH(orders!$D267,products!$A$1:$A$49,0),MATCH(orders!L$1,products!$A$1:$G$1,0))</f>
        <v>5.97</v>
      </c>
      <c r="M267" s="6">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cm="1">
        <f t="array" ref="F268">_xlfn.XLOOKUP(C268,customers!A$1:$A$1001,customers!$B$1:$B$1001,0)</f>
        <v>Myles Seawright</v>
      </c>
      <c r="G268" s="2" t="str">
        <f>IF(_xlfn.XLOOKUP(C268,customers!$A$1:$A$1001,customers!$C$1:$C$1001,0)=0,"",_xlfn.XLOOKUP(C268,customers!$A$1:$A$1001,customers!$C$1:$C$1001))</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6">
        <f>INDEX(products!$A$1:$G$49,MATCH(orders!$D268,products!$A$1:$A$49,0),MATCH(orders!L$1,products!$A$1:$G$1,0))</f>
        <v>12.15</v>
      </c>
      <c r="M268" s="6">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cm="1">
        <f t="array" ref="F269">_xlfn.XLOOKUP(C269,customers!A$1:$A$1001,customers!$B$1:$B$1001,0)</f>
        <v>Silvana Northeast</v>
      </c>
      <c r="G269" s="2" t="str">
        <f>IF(_xlfn.XLOOKUP(C269,customers!$A$1:$A$1001,customers!$C$1:$C$1001,0)=0,"",_xlfn.XLOOKUP(C269,customers!$A$1:$A$1001,customers!$C$1:$C$1001))</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6">
        <f>INDEX(products!$A$1:$G$49,MATCH(orders!$D269,products!$A$1:$A$49,0),MATCH(orders!L$1,products!$A$1:$G$1,0))</f>
        <v>3.645</v>
      </c>
      <c r="M269" s="6">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cm="1">
        <f t="array" ref="F270">_xlfn.XLOOKUP(C270,customers!A$1:$A$1001,customers!$B$1:$B$1001,0)</f>
        <v>Anselma Attwater</v>
      </c>
      <c r="G270" s="2" t="str">
        <f>IF(_xlfn.XLOOKUP(C270,customers!$A$1:$A$1001,customers!$C$1:$C$1001,0)=0,"",_xlfn.XLOOKUP(C270,customers!$A$1:$A$1001,customers!$C$1:$C$1001))</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6">
        <f>INDEX(products!$A$1:$G$49,MATCH(orders!$D270,products!$A$1:$A$49,0),MATCH(orders!L$1,products!$A$1:$G$1,0))</f>
        <v>9.9499999999999993</v>
      </c>
      <c r="M270" s="6">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cm="1">
        <f t="array" ref="F271">_xlfn.XLOOKUP(C271,customers!A$1:$A$1001,customers!$B$1:$B$1001,0)</f>
        <v>Monica Fearon</v>
      </c>
      <c r="G271" s="2" t="str">
        <f>IF(_xlfn.XLOOKUP(C271,customers!$A$1:$A$1001,customers!$C$1:$C$1001,0)=0,"",_xlfn.XLOOKUP(C271,customers!$A$1:$A$1001,customers!$C$1:$C$1001))</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6">
        <f>INDEX(products!$A$1:$G$49,MATCH(orders!$D271,products!$A$1:$A$49,0),MATCH(orders!L$1,products!$A$1:$G$1,0))</f>
        <v>2.9849999999999999</v>
      </c>
      <c r="M271" s="6">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cm="1">
        <f t="array" ref="F272">_xlfn.XLOOKUP(C272,customers!A$1:$A$1001,customers!$B$1:$B$1001,0)</f>
        <v>Barney Chisnell</v>
      </c>
      <c r="G272" s="2" t="str">
        <f>IF(_xlfn.XLOOKUP(C272,customers!$A$1:$A$1001,customers!$C$1:$C$1001,0)=0,"",_xlfn.XLOOKUP(C272,customers!$A$1:$A$1001,customers!$C$1:$C$1001))</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6">
        <f>INDEX(products!$A$1:$G$49,MATCH(orders!$D272,products!$A$1:$A$49,0),MATCH(orders!L$1,products!$A$1:$G$1,0))</f>
        <v>7.29</v>
      </c>
      <c r="M272" s="6">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cm="1">
        <f t="array" ref="F273">_xlfn.XLOOKUP(C273,customers!A$1:$A$1001,customers!$B$1:$B$1001,0)</f>
        <v>Jasper Sisneros</v>
      </c>
      <c r="G273" s="2" t="str">
        <f>IF(_xlfn.XLOOKUP(C273,customers!$A$1:$A$1001,customers!$C$1:$C$1001,0)=0,"",_xlfn.XLOOKUP(C273,customers!$A$1:$A$1001,customers!$C$1:$C$1001))</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6">
        <f>INDEX(products!$A$1:$G$49,MATCH(orders!$D273,products!$A$1:$A$49,0),MATCH(orders!L$1,products!$A$1:$G$1,0))</f>
        <v>2.9849999999999999</v>
      </c>
      <c r="M273" s="6">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cm="1">
        <f t="array" ref="F274">_xlfn.XLOOKUP(C274,customers!A$1:$A$1001,customers!$B$1:$B$1001,0)</f>
        <v>Zachariah Carlson</v>
      </c>
      <c r="G274" s="2" t="str">
        <f>IF(_xlfn.XLOOKUP(C274,customers!$A$1:$A$1001,customers!$C$1:$C$1001,0)=0,"",_xlfn.XLOOKUP(C274,customers!$A$1:$A$1001,customers!$C$1:$C$1001))</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6">
        <f>INDEX(products!$A$1:$G$49,MATCH(orders!$D274,products!$A$1:$A$49,0),MATCH(orders!L$1,products!$A$1:$G$1,0))</f>
        <v>11.95</v>
      </c>
      <c r="M274" s="6">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cm="1">
        <f t="array" ref="F275">_xlfn.XLOOKUP(C275,customers!A$1:$A$1001,customers!$B$1:$B$1001,0)</f>
        <v>Warner Maddox</v>
      </c>
      <c r="G275" s="2" t="str">
        <f>IF(_xlfn.XLOOKUP(C275,customers!$A$1:$A$1001,customers!$C$1:$C$1001,0)=0,"",_xlfn.XLOOKUP(C275,customers!$A$1:$A$1001,customers!$C$1:$C$1001))</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6">
        <f>INDEX(products!$A$1:$G$49,MATCH(orders!$D275,products!$A$1:$A$49,0),MATCH(orders!L$1,products!$A$1:$G$1,0))</f>
        <v>3.8849999999999998</v>
      </c>
      <c r="M275" s="6">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cm="1">
        <f t="array" ref="F276">_xlfn.XLOOKUP(C276,customers!A$1:$A$1001,customers!$B$1:$B$1001,0)</f>
        <v>Donnie Hedlestone</v>
      </c>
      <c r="G276" s="2" t="str">
        <f>IF(_xlfn.XLOOKUP(C276,customers!$A$1:$A$1001,customers!$C$1:$C$1001,0)=0,"",_xlfn.XLOOKUP(C276,customers!$A$1:$A$1001,customers!$C$1:$C$1001))</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6">
        <f>INDEX(products!$A$1:$G$49,MATCH(orders!$D276,products!$A$1:$A$49,0),MATCH(orders!L$1,products!$A$1:$G$1,0))</f>
        <v>25.874999999999996</v>
      </c>
      <c r="M276" s="6">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cm="1">
        <f t="array" ref="F277">_xlfn.XLOOKUP(C277,customers!A$1:$A$1001,customers!$B$1:$B$1001,0)</f>
        <v>Teddi Crowthe</v>
      </c>
      <c r="G277" s="2" t="str">
        <f>IF(_xlfn.XLOOKUP(C277,customers!$A$1:$A$1001,customers!$C$1:$C$1001,0)=0,"",_xlfn.XLOOKUP(C277,customers!$A$1:$A$1001,customers!$C$1:$C$1001))</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6">
        <f>INDEX(products!$A$1:$G$49,MATCH(orders!$D277,products!$A$1:$A$49,0),MATCH(orders!L$1,products!$A$1:$G$1,0))</f>
        <v>34.154999999999994</v>
      </c>
      <c r="M277" s="6">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cm="1">
        <f t="array" ref="F278">_xlfn.XLOOKUP(C278,customers!A$1:$A$1001,customers!$B$1:$B$1001,0)</f>
        <v>Dorelia Bury</v>
      </c>
      <c r="G278" s="2" t="str">
        <f>IF(_xlfn.XLOOKUP(C278,customers!$A$1:$A$1001,customers!$C$1:$C$1001,0)=0,"",_xlfn.XLOOKUP(C278,customers!$A$1:$A$1001,customers!$C$1:$C$1001))</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6">
        <f>INDEX(products!$A$1:$G$49,MATCH(orders!$D278,products!$A$1:$A$49,0),MATCH(orders!L$1,products!$A$1:$G$1,0))</f>
        <v>27.484999999999996</v>
      </c>
      <c r="M278" s="6">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cm="1">
        <f t="array" ref="F279">_xlfn.XLOOKUP(C279,customers!A$1:$A$1001,customers!$B$1:$B$1001,0)</f>
        <v>Gussy Broadbear</v>
      </c>
      <c r="G279" s="2" t="str">
        <f>IF(_xlfn.XLOOKUP(C279,customers!$A$1:$A$1001,customers!$C$1:$C$1001,0)=0,"",_xlfn.XLOOKUP(C279,customers!$A$1:$A$1001,customers!$C$1:$C$1001))</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6">
        <f>INDEX(products!$A$1:$G$49,MATCH(orders!$D279,products!$A$1:$A$49,0),MATCH(orders!L$1,products!$A$1:$G$1,0))</f>
        <v>14.85</v>
      </c>
      <c r="M279" s="6">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cm="1">
        <f t="array" ref="F280">_xlfn.XLOOKUP(C280,customers!A$1:$A$1001,customers!$B$1:$B$1001,0)</f>
        <v>Emlynne Palfrey</v>
      </c>
      <c r="G280" s="2" t="str">
        <f>IF(_xlfn.XLOOKUP(C280,customers!$A$1:$A$1001,customers!$C$1:$C$1001,0)=0,"",_xlfn.XLOOKUP(C280,customers!$A$1:$A$1001,customers!$C$1:$C$1001))</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6">
        <f>INDEX(products!$A$1:$G$49,MATCH(orders!$D280,products!$A$1:$A$49,0),MATCH(orders!L$1,products!$A$1:$G$1,0))</f>
        <v>3.8849999999999998</v>
      </c>
      <c r="M280" s="6">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cm="1">
        <f t="array" ref="F281">_xlfn.XLOOKUP(C281,customers!A$1:$A$1001,customers!$B$1:$B$1001,0)</f>
        <v>Parsifal Metrick</v>
      </c>
      <c r="G281" s="2" t="str">
        <f>IF(_xlfn.XLOOKUP(C281,customers!$A$1:$A$1001,customers!$C$1:$C$1001,0)=0,"",_xlfn.XLOOKUP(C281,customers!$A$1:$A$1001,customers!$C$1:$C$1001))</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6">
        <f>INDEX(products!$A$1:$G$49,MATCH(orders!$D281,products!$A$1:$A$49,0),MATCH(orders!L$1,products!$A$1:$G$1,0))</f>
        <v>33.464999999999996</v>
      </c>
      <c r="M281" s="6">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cm="1">
        <f t="array" ref="F282">_xlfn.XLOOKUP(C282,customers!A$1:$A$1001,customers!$B$1:$B$1001,0)</f>
        <v>Christopher Grieveson</v>
      </c>
      <c r="G282" s="2" t="str">
        <f>IF(_xlfn.XLOOKUP(C282,customers!$A$1:$A$1001,customers!$C$1:$C$1001,0)=0,"",_xlfn.XLOOKUP(C282,customers!$A$1:$A$1001,customers!$C$1:$C$1001))</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6">
        <f>INDEX(products!$A$1:$G$49,MATCH(orders!$D282,products!$A$1:$A$49,0),MATCH(orders!L$1,products!$A$1:$G$1,0))</f>
        <v>8.25</v>
      </c>
      <c r="M282" s="6">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cm="1">
        <f t="array" ref="F283">_xlfn.XLOOKUP(C283,customers!A$1:$A$1001,customers!$B$1:$B$1001,0)</f>
        <v>Karlan Karby</v>
      </c>
      <c r="G283" s="2" t="str">
        <f>IF(_xlfn.XLOOKUP(C283,customers!$A$1:$A$1001,customers!$C$1:$C$1001,0)=0,"",_xlfn.XLOOKUP(C283,customers!$A$1:$A$1001,customers!$C$1:$C$1001))</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6">
        <f>INDEX(products!$A$1:$G$49,MATCH(orders!$D283,products!$A$1:$A$49,0),MATCH(orders!L$1,products!$A$1:$G$1,0))</f>
        <v>14.85</v>
      </c>
      <c r="M283" s="6">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cm="1">
        <f t="array" ref="F284">_xlfn.XLOOKUP(C284,customers!A$1:$A$1001,customers!$B$1:$B$1001,0)</f>
        <v>Flory Crumpe</v>
      </c>
      <c r="G284" s="2" t="str">
        <f>IF(_xlfn.XLOOKUP(C284,customers!$A$1:$A$1001,customers!$C$1:$C$1001,0)=0,"",_xlfn.XLOOKUP(C284,customers!$A$1:$A$1001,customers!$C$1:$C$1001))</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6">
        <f>INDEX(products!$A$1:$G$49,MATCH(orders!$D284,products!$A$1:$A$49,0),MATCH(orders!L$1,products!$A$1:$G$1,0))</f>
        <v>7.77</v>
      </c>
      <c r="M284" s="6">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cm="1">
        <f t="array" ref="F285">_xlfn.XLOOKUP(C285,customers!A$1:$A$1001,customers!$B$1:$B$1001,0)</f>
        <v>Amity Chatto</v>
      </c>
      <c r="G285" s="2" t="str">
        <f>IF(_xlfn.XLOOKUP(C285,customers!$A$1:$A$1001,customers!$C$1:$C$1001,0)=0,"",_xlfn.XLOOKUP(C285,customers!$A$1:$A$1001,customers!$C$1:$C$1001))</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6">
        <f>INDEX(products!$A$1:$G$49,MATCH(orders!$D285,products!$A$1:$A$49,0),MATCH(orders!L$1,products!$A$1:$G$1,0))</f>
        <v>5.3699999999999992</v>
      </c>
      <c r="M285" s="6">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cm="1">
        <f t="array" ref="F286">_xlfn.XLOOKUP(C286,customers!A$1:$A$1001,customers!$B$1:$B$1001,0)</f>
        <v>Nanine McCarthy</v>
      </c>
      <c r="G286" s="2" t="str">
        <f>IF(_xlfn.XLOOKUP(C286,customers!$A$1:$A$1001,customers!$C$1:$C$1001,0)=0,"",_xlfn.XLOOKUP(C286,customers!$A$1:$A$1001,customers!$C$1:$C$1001))</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6">
        <f>INDEX(products!$A$1:$G$49,MATCH(orders!$D286,products!$A$1:$A$49,0),MATCH(orders!L$1,products!$A$1:$G$1,0))</f>
        <v>31.624999999999996</v>
      </c>
      <c r="M286" s="6">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cm="1">
        <f t="array" ref="F287">_xlfn.XLOOKUP(C287,customers!A$1:$A$1001,customers!$B$1:$B$1001,0)</f>
        <v>Lyndsey Megany</v>
      </c>
      <c r="G287" s="2" t="str">
        <f>IF(_xlfn.XLOOKUP(C287,customers!$A$1:$A$1001,customers!$C$1:$C$1001,0)=0,"",_xlfn.XLOOKUP(C287,customers!$A$1:$A$1001,customers!$C$1:$C$1001))</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6">
        <f>INDEX(products!$A$1:$G$49,MATCH(orders!$D287,products!$A$1:$A$49,0),MATCH(orders!L$1,products!$A$1:$G$1,0))</f>
        <v>36.454999999999998</v>
      </c>
      <c r="M287" s="6">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cm="1">
        <f t="array" ref="F288">_xlfn.XLOOKUP(C288,customers!A$1:$A$1001,customers!$B$1:$B$1001,0)</f>
        <v>Byram Mergue</v>
      </c>
      <c r="G288" s="2" t="str">
        <f>IF(_xlfn.XLOOKUP(C288,customers!$A$1:$A$1001,customers!$C$1:$C$1001,0)=0,"",_xlfn.XLOOKUP(C288,customers!$A$1:$A$1001,customers!$C$1:$C$1001))</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6">
        <f>INDEX(products!$A$1:$G$49,MATCH(orders!$D288,products!$A$1:$A$49,0),MATCH(orders!L$1,products!$A$1:$G$1,0))</f>
        <v>3.375</v>
      </c>
      <c r="M288" s="6">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cm="1">
        <f t="array" ref="F289">_xlfn.XLOOKUP(C289,customers!A$1:$A$1001,customers!$B$1:$B$1001,0)</f>
        <v>Kerr Patise</v>
      </c>
      <c r="G289" s="2" t="str">
        <f>IF(_xlfn.XLOOKUP(C289,customers!$A$1:$A$1001,customers!$C$1:$C$1001,0)=0,"",_xlfn.XLOOKUP(C289,customers!$A$1:$A$1001,customers!$C$1:$C$1001))</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6">
        <f>INDEX(products!$A$1:$G$49,MATCH(orders!$D289,products!$A$1:$A$49,0),MATCH(orders!L$1,products!$A$1:$G$1,0))</f>
        <v>3.5849999999999995</v>
      </c>
      <c r="M289" s="6">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cm="1">
        <f t="array" ref="F290">_xlfn.XLOOKUP(C290,customers!A$1:$A$1001,customers!$B$1:$B$1001,0)</f>
        <v>Mathew Goulter</v>
      </c>
      <c r="G290" s="2" t="str">
        <f>IF(_xlfn.XLOOKUP(C290,customers!$A$1:$A$1001,customers!$C$1:$C$1001,0)=0,"",_xlfn.XLOOKUP(C290,customers!$A$1:$A$1001,customers!$C$1:$C$1001))</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6">
        <f>INDEX(products!$A$1:$G$49,MATCH(orders!$D290,products!$A$1:$A$49,0),MATCH(orders!L$1,products!$A$1:$G$1,0))</f>
        <v>8.25</v>
      </c>
      <c r="M290" s="6">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cm="1">
        <f t="array" ref="F291">_xlfn.XLOOKUP(C291,customers!A$1:$A$1001,customers!$B$1:$B$1001,0)</f>
        <v>Marris Grcic</v>
      </c>
      <c r="G291" s="2" t="str">
        <f>IF(_xlfn.XLOOKUP(C291,customers!$A$1:$A$1001,customers!$C$1:$C$1001,0)=0,"",_xlfn.XLOOKUP(C291,customers!$A$1:$A$1001,customers!$C$1:$C$1001))</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6">
        <f>INDEX(products!$A$1:$G$49,MATCH(orders!$D291,products!$A$1:$A$49,0),MATCH(orders!L$1,products!$A$1:$G$1,0))</f>
        <v>2.6849999999999996</v>
      </c>
      <c r="M291" s="6">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cm="1">
        <f t="array" ref="F292">_xlfn.XLOOKUP(C292,customers!A$1:$A$1001,customers!$B$1:$B$1001,0)</f>
        <v>Domeniga Duke</v>
      </c>
      <c r="G292" s="2" t="str">
        <f>IF(_xlfn.XLOOKUP(C292,customers!$A$1:$A$1001,customers!$C$1:$C$1001,0)=0,"",_xlfn.XLOOKUP(C292,customers!$A$1:$A$1001,customers!$C$1:$C$1001))</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6">
        <f>INDEX(products!$A$1:$G$49,MATCH(orders!$D292,products!$A$1:$A$49,0),MATCH(orders!L$1,products!$A$1:$G$1,0))</f>
        <v>9.9499999999999993</v>
      </c>
      <c r="M292" s="6">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cm="1">
        <f t="array" ref="F293">_xlfn.XLOOKUP(C293,customers!A$1:$A$1001,customers!$B$1:$B$1001,0)</f>
        <v>Violante Skouling</v>
      </c>
      <c r="G293" s="2" t="str">
        <f>IF(_xlfn.XLOOKUP(C293,customers!$A$1:$A$1001,customers!$C$1:$C$1001,0)=0,"",_xlfn.XLOOKUP(C293,customers!$A$1:$A$1001,customers!$C$1:$C$1001))</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6">
        <f>INDEX(products!$A$1:$G$49,MATCH(orders!$D293,products!$A$1:$A$49,0),MATCH(orders!L$1,products!$A$1:$G$1,0))</f>
        <v>8.25</v>
      </c>
      <c r="M293" s="6">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cm="1">
        <f t="array" ref="F294">_xlfn.XLOOKUP(C294,customers!A$1:$A$1001,customers!$B$1:$B$1001,0)</f>
        <v>Isidore Hussey</v>
      </c>
      <c r="G294" s="2" t="str">
        <f>IF(_xlfn.XLOOKUP(C294,customers!$A$1:$A$1001,customers!$C$1:$C$1001,0)=0,"",_xlfn.XLOOKUP(C294,customers!$A$1:$A$1001,customers!$C$1:$C$1001))</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6">
        <f>INDEX(products!$A$1:$G$49,MATCH(orders!$D294,products!$A$1:$A$49,0),MATCH(orders!L$1,products!$A$1:$G$1,0))</f>
        <v>5.97</v>
      </c>
      <c r="M294" s="6">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cm="1">
        <f t="array" ref="F295">_xlfn.XLOOKUP(C295,customers!A$1:$A$1001,customers!$B$1:$B$1001,0)</f>
        <v>Cassie Pinkerton</v>
      </c>
      <c r="G295" s="2" t="str">
        <f>IF(_xlfn.XLOOKUP(C295,customers!$A$1:$A$1001,customers!$C$1:$C$1001,0)=0,"",_xlfn.XLOOKUP(C295,customers!$A$1:$A$1001,customers!$C$1:$C$1001))</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6">
        <f>INDEX(products!$A$1:$G$49,MATCH(orders!$D295,products!$A$1:$A$49,0),MATCH(orders!L$1,products!$A$1:$G$1,0))</f>
        <v>5.97</v>
      </c>
      <c r="M295" s="6">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cm="1">
        <f t="array" ref="F296">_xlfn.XLOOKUP(C296,customers!A$1:$A$1001,customers!$B$1:$B$1001,0)</f>
        <v>Micki Fero</v>
      </c>
      <c r="G296" s="2" t="str">
        <f>IF(_xlfn.XLOOKUP(C296,customers!$A$1:$A$1001,customers!$C$1:$C$1001,0)=0,"",_xlfn.XLOOKUP(C296,customers!$A$1:$A$1001,customers!$C$1:$C$1001))</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6">
        <f>INDEX(products!$A$1:$G$49,MATCH(orders!$D296,products!$A$1:$A$49,0),MATCH(orders!L$1,products!$A$1:$G$1,0))</f>
        <v>14.85</v>
      </c>
      <c r="M296" s="6">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cm="1">
        <f t="array" ref="F297">_xlfn.XLOOKUP(C297,customers!A$1:$A$1001,customers!$B$1:$B$1001,0)</f>
        <v>Cybill Graddell</v>
      </c>
      <c r="G297" s="2" t="str">
        <f>IF(_xlfn.XLOOKUP(C297,customers!$A$1:$A$1001,customers!$C$1:$C$1001,0)=0,"",_xlfn.XLOOKUP(C297,customers!$A$1:$A$1001,customers!$C$1:$C$1001))</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6">
        <f>INDEX(products!$A$1:$G$49,MATCH(orders!$D297,products!$A$1:$A$49,0),MATCH(orders!L$1,products!$A$1:$G$1,0))</f>
        <v>13.75</v>
      </c>
      <c r="M297" s="6">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cm="1">
        <f t="array" ref="F298">_xlfn.XLOOKUP(C298,customers!A$1:$A$1001,customers!$B$1:$B$1001,0)</f>
        <v>Dorian Vizor</v>
      </c>
      <c r="G298" s="2" t="str">
        <f>IF(_xlfn.XLOOKUP(C298,customers!$A$1:$A$1001,customers!$C$1:$C$1001,0)=0,"",_xlfn.XLOOKUP(C298,customers!$A$1:$A$1001,customers!$C$1:$C$1001))</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6">
        <f>INDEX(products!$A$1:$G$49,MATCH(orders!$D298,products!$A$1:$A$49,0),MATCH(orders!L$1,products!$A$1:$G$1,0))</f>
        <v>5.97</v>
      </c>
      <c r="M298" s="6">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cm="1">
        <f t="array" ref="F299">_xlfn.XLOOKUP(C299,customers!A$1:$A$1001,customers!$B$1:$B$1001,0)</f>
        <v>Eddi Sedgebeer</v>
      </c>
      <c r="G299" s="2" t="str">
        <f>IF(_xlfn.XLOOKUP(C299,customers!$A$1:$A$1001,customers!$C$1:$C$1001,0)=0,"",_xlfn.XLOOKUP(C299,customers!$A$1:$A$1001,customers!$C$1:$C$1001))</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6">
        <f>INDEX(products!$A$1:$G$49,MATCH(orders!$D299,products!$A$1:$A$49,0),MATCH(orders!L$1,products!$A$1:$G$1,0))</f>
        <v>5.3699999999999992</v>
      </c>
      <c r="M299" s="6">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cm="1">
        <f t="array" ref="F300">_xlfn.XLOOKUP(C300,customers!A$1:$A$1001,customers!$B$1:$B$1001,0)</f>
        <v>Ken Lestrange</v>
      </c>
      <c r="G300" s="2" t="str">
        <f>IF(_xlfn.XLOOKUP(C300,customers!$A$1:$A$1001,customers!$C$1:$C$1001,0)=0,"",_xlfn.XLOOKUP(C300,customers!$A$1:$A$1001,customers!$C$1:$C$1001))</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6">
        <f>INDEX(products!$A$1:$G$49,MATCH(orders!$D300,products!$A$1:$A$49,0),MATCH(orders!L$1,products!$A$1:$G$1,0))</f>
        <v>4.4550000000000001</v>
      </c>
      <c r="M300" s="6">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cm="1">
        <f t="array" ref="F301">_xlfn.XLOOKUP(C301,customers!A$1:$A$1001,customers!$B$1:$B$1001,0)</f>
        <v>Lacee Tanti</v>
      </c>
      <c r="G301" s="2" t="str">
        <f>IF(_xlfn.XLOOKUP(C301,customers!$A$1:$A$1001,customers!$C$1:$C$1001,0)=0,"",_xlfn.XLOOKUP(C301,customers!$A$1:$A$1001,customers!$C$1:$C$1001))</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6">
        <f>INDEX(products!$A$1:$G$49,MATCH(orders!$D301,products!$A$1:$A$49,0),MATCH(orders!L$1,products!$A$1:$G$1,0))</f>
        <v>34.154999999999994</v>
      </c>
      <c r="M301" s="6">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cm="1">
        <f t="array" ref="F302">_xlfn.XLOOKUP(C302,customers!A$1:$A$1001,customers!$B$1:$B$1001,0)</f>
        <v>Arel De Lasci</v>
      </c>
      <c r="G302" s="2" t="str">
        <f>IF(_xlfn.XLOOKUP(C302,customers!$A$1:$A$1001,customers!$C$1:$C$1001,0)=0,"",_xlfn.XLOOKUP(C302,customers!$A$1:$A$1001,customers!$C$1:$C$1001))</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6">
        <f>INDEX(products!$A$1:$G$49,MATCH(orders!$D302,products!$A$1:$A$49,0),MATCH(orders!L$1,products!$A$1:$G$1,0))</f>
        <v>12.95</v>
      </c>
      <c r="M302" s="6">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cm="1">
        <f t="array" ref="F303">_xlfn.XLOOKUP(C303,customers!A$1:$A$1001,customers!$B$1:$B$1001,0)</f>
        <v>Trescha Jedrachowicz</v>
      </c>
      <c r="G303" s="2" t="str">
        <f>IF(_xlfn.XLOOKUP(C303,customers!$A$1:$A$1001,customers!$C$1:$C$1001,0)=0,"",_xlfn.XLOOKUP(C303,customers!$A$1:$A$1001,customers!$C$1:$C$1001))</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6">
        <f>INDEX(products!$A$1:$G$49,MATCH(orders!$D303,products!$A$1:$A$49,0),MATCH(orders!L$1,products!$A$1:$G$1,0))</f>
        <v>3.8849999999999998</v>
      </c>
      <c r="M303" s="6">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cm="1">
        <f t="array" ref="F304">_xlfn.XLOOKUP(C304,customers!A$1:$A$1001,customers!$B$1:$B$1001,0)</f>
        <v>Perkin Stonner</v>
      </c>
      <c r="G304" s="2" t="str">
        <f>IF(_xlfn.XLOOKUP(C304,customers!$A$1:$A$1001,customers!$C$1:$C$1001,0)=0,"",_xlfn.XLOOKUP(C304,customers!$A$1:$A$1001,customers!$C$1:$C$1001))</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6">
        <f>INDEX(products!$A$1:$G$49,MATCH(orders!$D304,products!$A$1:$A$49,0),MATCH(orders!L$1,products!$A$1:$G$1,0))</f>
        <v>6.75</v>
      </c>
      <c r="M304" s="6">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cm="1">
        <f t="array" ref="F305">_xlfn.XLOOKUP(C305,customers!A$1:$A$1001,customers!$B$1:$B$1001,0)</f>
        <v>Darrin Tingly</v>
      </c>
      <c r="G305" s="2" t="str">
        <f>IF(_xlfn.XLOOKUP(C305,customers!$A$1:$A$1001,customers!$C$1:$C$1001,0)=0,"",_xlfn.XLOOKUP(C305,customers!$A$1:$A$1001,customers!$C$1:$C$1001))</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6">
        <f>INDEX(products!$A$1:$G$49,MATCH(orders!$D305,products!$A$1:$A$49,0),MATCH(orders!L$1,products!$A$1:$G$1,0))</f>
        <v>27.945</v>
      </c>
      <c r="M305" s="6">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cm="1">
        <f t="array" ref="F306">_xlfn.XLOOKUP(C306,customers!A$1:$A$1001,customers!$B$1:$B$1001,0)</f>
        <v>Claudetta Rushe</v>
      </c>
      <c r="G306" s="2" t="str">
        <f>IF(_xlfn.XLOOKUP(C306,customers!$A$1:$A$1001,customers!$C$1:$C$1001,0)=0,"",_xlfn.XLOOKUP(C306,customers!$A$1:$A$1001,customers!$C$1:$C$1001))</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6">
        <f>INDEX(products!$A$1:$G$49,MATCH(orders!$D306,products!$A$1:$A$49,0),MATCH(orders!L$1,products!$A$1:$G$1,0))</f>
        <v>3.8849999999999998</v>
      </c>
      <c r="M306" s="6">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cm="1">
        <f t="array" ref="F307">_xlfn.XLOOKUP(C307,customers!A$1:$A$1001,customers!$B$1:$B$1001,0)</f>
        <v>Benn Checci</v>
      </c>
      <c r="G307" s="2" t="str">
        <f>IF(_xlfn.XLOOKUP(C307,customers!$A$1:$A$1001,customers!$C$1:$C$1001,0)=0,"",_xlfn.XLOOKUP(C307,customers!$A$1:$A$1001,customers!$C$1:$C$1001))</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6">
        <f>INDEX(products!$A$1:$G$49,MATCH(orders!$D307,products!$A$1:$A$49,0),MATCH(orders!L$1,products!$A$1:$G$1,0))</f>
        <v>4.3650000000000002</v>
      </c>
      <c r="M307" s="6">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cm="1">
        <f t="array" ref="F308">_xlfn.XLOOKUP(C308,customers!A$1:$A$1001,customers!$B$1:$B$1001,0)</f>
        <v>Janifer Bagot</v>
      </c>
      <c r="G308" s="2" t="str">
        <f>IF(_xlfn.XLOOKUP(C308,customers!$A$1:$A$1001,customers!$C$1:$C$1001,0)=0,"",_xlfn.XLOOKUP(C308,customers!$A$1:$A$1001,customers!$C$1:$C$1001))</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6">
        <f>INDEX(products!$A$1:$G$49,MATCH(orders!$D308,products!$A$1:$A$49,0),MATCH(orders!L$1,products!$A$1:$G$1,0))</f>
        <v>2.9849999999999999</v>
      </c>
      <c r="M308" s="6">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cm="1">
        <f t="array" ref="F309">_xlfn.XLOOKUP(C309,customers!A$1:$A$1001,customers!$B$1:$B$1001,0)</f>
        <v>Ermin Beeble</v>
      </c>
      <c r="G309" s="2" t="str">
        <f>IF(_xlfn.XLOOKUP(C309,customers!$A$1:$A$1001,customers!$C$1:$C$1001,0)=0,"",_xlfn.XLOOKUP(C309,customers!$A$1:$A$1001,customers!$C$1:$C$1001))</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6">
        <f>INDEX(products!$A$1:$G$49,MATCH(orders!$D309,products!$A$1:$A$49,0),MATCH(orders!L$1,products!$A$1:$G$1,0))</f>
        <v>11.25</v>
      </c>
      <c r="M309" s="6">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cm="1">
        <f t="array" ref="F310">_xlfn.XLOOKUP(C310,customers!A$1:$A$1001,customers!$B$1:$B$1001,0)</f>
        <v>Cos Fluin</v>
      </c>
      <c r="G310" s="2" t="str">
        <f>IF(_xlfn.XLOOKUP(C310,customers!$A$1:$A$1001,customers!$C$1:$C$1001,0)=0,"",_xlfn.XLOOKUP(C310,customers!$A$1:$A$1001,customers!$C$1:$C$1001))</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6">
        <f>INDEX(products!$A$1:$G$49,MATCH(orders!$D310,products!$A$1:$A$49,0),MATCH(orders!L$1,products!$A$1:$G$1,0))</f>
        <v>11.25</v>
      </c>
      <c r="M310" s="6">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cm="1">
        <f t="array" ref="F311">_xlfn.XLOOKUP(C311,customers!A$1:$A$1001,customers!$B$1:$B$1001,0)</f>
        <v>Eveleen Bletsor</v>
      </c>
      <c r="G311" s="2" t="str">
        <f>IF(_xlfn.XLOOKUP(C311,customers!$A$1:$A$1001,customers!$C$1:$C$1001,0)=0,"",_xlfn.XLOOKUP(C311,customers!$A$1:$A$1001,customers!$C$1:$C$1001))</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6">
        <f>INDEX(products!$A$1:$G$49,MATCH(orders!$D311,products!$A$1:$A$49,0),MATCH(orders!L$1,products!$A$1:$G$1,0))</f>
        <v>4.3650000000000002</v>
      </c>
      <c r="M311" s="6">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cm="1">
        <f t="array" ref="F312">_xlfn.XLOOKUP(C312,customers!A$1:$A$1001,customers!$B$1:$B$1001,0)</f>
        <v>Paola Brydell</v>
      </c>
      <c r="G312" s="2" t="str">
        <f>IF(_xlfn.XLOOKUP(C312,customers!$A$1:$A$1001,customers!$C$1:$C$1001,0)=0,"",_xlfn.XLOOKUP(C312,customers!$A$1:$A$1001,customers!$C$1:$C$1001))</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6">
        <f>INDEX(products!$A$1:$G$49,MATCH(orders!$D312,products!$A$1:$A$49,0),MATCH(orders!L$1,products!$A$1:$G$1,0))</f>
        <v>14.85</v>
      </c>
      <c r="M312" s="6">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cm="1">
        <f t="array" ref="F313">_xlfn.XLOOKUP(C313,customers!A$1:$A$1001,customers!$B$1:$B$1001,0)</f>
        <v>Claudetta Rushe</v>
      </c>
      <c r="G313" s="2" t="str">
        <f>IF(_xlfn.XLOOKUP(C313,customers!$A$1:$A$1001,customers!$C$1:$C$1001,0)=0,"",_xlfn.XLOOKUP(C313,customers!$A$1:$A$1001,customers!$C$1:$C$1001))</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6">
        <f>INDEX(products!$A$1:$G$49,MATCH(orders!$D313,products!$A$1:$A$49,0),MATCH(orders!L$1,products!$A$1:$G$1,0))</f>
        <v>31.624999999999996</v>
      </c>
      <c r="M313" s="6">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cm="1">
        <f t="array" ref="F314">_xlfn.XLOOKUP(C314,customers!A$1:$A$1001,customers!$B$1:$B$1001,0)</f>
        <v>Natka Leethem</v>
      </c>
      <c r="G314" s="2" t="str">
        <f>IF(_xlfn.XLOOKUP(C314,customers!$A$1:$A$1001,customers!$C$1:$C$1001,0)=0,"",_xlfn.XLOOKUP(C314,customers!$A$1:$A$1001,customers!$C$1:$C$1001))</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6">
        <f>INDEX(products!$A$1:$G$49,MATCH(orders!$D314,products!$A$1:$A$49,0),MATCH(orders!L$1,products!$A$1:$G$1,0))</f>
        <v>5.97</v>
      </c>
      <c r="M314" s="6">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cm="1">
        <f t="array" ref="F315">_xlfn.XLOOKUP(C315,customers!A$1:$A$1001,customers!$B$1:$B$1001,0)</f>
        <v>Ailene Nesfield</v>
      </c>
      <c r="G315" s="2" t="str">
        <f>IF(_xlfn.XLOOKUP(C315,customers!$A$1:$A$1001,customers!$C$1:$C$1001,0)=0,"",_xlfn.XLOOKUP(C315,customers!$A$1:$A$1001,customers!$C$1:$C$1001))</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6">
        <f>INDEX(products!$A$1:$G$49,MATCH(orders!$D315,products!$A$1:$A$49,0),MATCH(orders!L$1,products!$A$1:$G$1,0))</f>
        <v>9.9499999999999993</v>
      </c>
      <c r="M315" s="6">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cm="1">
        <f t="array" ref="F316">_xlfn.XLOOKUP(C316,customers!A$1:$A$1001,customers!$B$1:$B$1001,0)</f>
        <v>Stacy Pickworth</v>
      </c>
      <c r="G316" s="2" t="str">
        <f>IF(_xlfn.XLOOKUP(C316,customers!$A$1:$A$1001,customers!$C$1:$C$1001,0)=0,"",_xlfn.XLOOKUP(C316,customers!$A$1:$A$1001,customers!$C$1:$C$1001))</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6">
        <f>INDEX(products!$A$1:$G$49,MATCH(orders!$D316,products!$A$1:$A$49,0),MATCH(orders!L$1,products!$A$1:$G$1,0))</f>
        <v>8.9499999999999993</v>
      </c>
      <c r="M316" s="6">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cm="1">
        <f t="array" ref="F317">_xlfn.XLOOKUP(C317,customers!A$1:$A$1001,customers!$B$1:$B$1001,0)</f>
        <v>Melli Brockway</v>
      </c>
      <c r="G317" s="2" t="str">
        <f>IF(_xlfn.XLOOKUP(C317,customers!$A$1:$A$1001,customers!$C$1:$C$1001,0)=0,"",_xlfn.XLOOKUP(C317,customers!$A$1:$A$1001,customers!$C$1:$C$1001))</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6">
        <f>INDEX(products!$A$1:$G$49,MATCH(orders!$D317,products!$A$1:$A$49,0),MATCH(orders!L$1,products!$A$1:$G$1,0))</f>
        <v>34.154999999999994</v>
      </c>
      <c r="M317" s="6">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cm="1">
        <f t="array" ref="F318">_xlfn.XLOOKUP(C318,customers!A$1:$A$1001,customers!$B$1:$B$1001,0)</f>
        <v>Nanny Lush</v>
      </c>
      <c r="G318" s="2" t="str">
        <f>IF(_xlfn.XLOOKUP(C318,customers!$A$1:$A$1001,customers!$C$1:$C$1001,0)=0,"",_xlfn.XLOOKUP(C318,customers!$A$1:$A$1001,customers!$C$1:$C$1001))</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6">
        <f>INDEX(products!$A$1:$G$49,MATCH(orders!$D318,products!$A$1:$A$49,0),MATCH(orders!L$1,products!$A$1:$G$1,0))</f>
        <v>34.154999999999994</v>
      </c>
      <c r="M318" s="6">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cm="1">
        <f t="array" ref="F319">_xlfn.XLOOKUP(C319,customers!A$1:$A$1001,customers!$B$1:$B$1001,0)</f>
        <v>Selma McMillian</v>
      </c>
      <c r="G319" s="2" t="str">
        <f>IF(_xlfn.XLOOKUP(C319,customers!$A$1:$A$1001,customers!$C$1:$C$1001,0)=0,"",_xlfn.XLOOKUP(C319,customers!$A$1:$A$1001,customers!$C$1:$C$1001))</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6">
        <f>INDEX(products!$A$1:$G$49,MATCH(orders!$D319,products!$A$1:$A$49,0),MATCH(orders!L$1,products!$A$1:$G$1,0))</f>
        <v>7.29</v>
      </c>
      <c r="M319" s="6">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cm="1">
        <f t="array" ref="F320">_xlfn.XLOOKUP(C320,customers!A$1:$A$1001,customers!$B$1:$B$1001,0)</f>
        <v>Tess Bennison</v>
      </c>
      <c r="G320" s="2" t="str">
        <f>IF(_xlfn.XLOOKUP(C320,customers!$A$1:$A$1001,customers!$C$1:$C$1001,0)=0,"",_xlfn.XLOOKUP(C320,customers!$A$1:$A$1001,customers!$C$1:$C$1001))</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6">
        <f>INDEX(products!$A$1:$G$49,MATCH(orders!$D320,products!$A$1:$A$49,0),MATCH(orders!L$1,products!$A$1:$G$1,0))</f>
        <v>25.874999999999996</v>
      </c>
      <c r="M320" s="6">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cm="1">
        <f t="array" ref="F321">_xlfn.XLOOKUP(C321,customers!A$1:$A$1001,customers!$B$1:$B$1001,0)</f>
        <v>Gabie Tweed</v>
      </c>
      <c r="G321" s="2" t="str">
        <f>IF(_xlfn.XLOOKUP(C321,customers!$A$1:$A$1001,customers!$C$1:$C$1001,0)=0,"",_xlfn.XLOOKUP(C321,customers!$A$1:$A$1001,customers!$C$1:$C$1001))</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6">
        <f>INDEX(products!$A$1:$G$49,MATCH(orders!$D321,products!$A$1:$A$49,0),MATCH(orders!L$1,products!$A$1:$G$1,0))</f>
        <v>4.125</v>
      </c>
      <c r="M321" s="6">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cm="1">
        <f t="array" ref="F322">_xlfn.XLOOKUP(C322,customers!A$1:$A$1001,customers!$B$1:$B$1001,0)</f>
        <v>Gabie Tweed</v>
      </c>
      <c r="G322" s="2" t="str">
        <f>IF(_xlfn.XLOOKUP(C322,customers!$A$1:$A$1001,customers!$C$1:$C$1001,0)=0,"",_xlfn.XLOOKUP(C322,customers!$A$1:$A$1001,customers!$C$1:$C$1001))</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6">
        <f>INDEX(products!$A$1:$G$49,MATCH(orders!$D322,products!$A$1:$A$49,0),MATCH(orders!L$1,products!$A$1:$G$1,0))</f>
        <v>3.8849999999999998</v>
      </c>
      <c r="M322" s="6">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cm="1">
        <f t="array" ref="F323">_xlfn.XLOOKUP(C323,customers!A$1:$A$1001,customers!$B$1:$B$1001,0)</f>
        <v>Gaile Goggin</v>
      </c>
      <c r="G323" s="2" t="str">
        <f>IF(_xlfn.XLOOKUP(C323,customers!$A$1:$A$1001,customers!$C$1:$C$1001,0)=0,"",_xlfn.XLOOKUP(C323,customers!$A$1:$A$1001,customers!$C$1:$C$1001))</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6">
        <f>INDEX(products!$A$1:$G$49,MATCH(orders!$D323,products!$A$1:$A$49,0),MATCH(orders!L$1,products!$A$1:$G$1,0))</f>
        <v>3.375</v>
      </c>
      <c r="M323" s="6">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cm="1">
        <f t="array" ref="F324">_xlfn.XLOOKUP(C324,customers!A$1:$A$1001,customers!$B$1:$B$1001,0)</f>
        <v>Skylar Jeyness</v>
      </c>
      <c r="G324" s="2" t="str">
        <f>IF(_xlfn.XLOOKUP(C324,customers!$A$1:$A$1001,customers!$C$1:$C$1001,0)=0,"",_xlfn.XLOOKUP(C324,customers!$A$1:$A$1001,customers!$C$1:$C$1001))</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6">
        <f>INDEX(products!$A$1:$G$49,MATCH(orders!$D324,products!$A$1:$A$49,0),MATCH(orders!L$1,products!$A$1:$G$1,0))</f>
        <v>7.77</v>
      </c>
      <c r="M324" s="6">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cm="1">
        <f t="array" ref="F325">_xlfn.XLOOKUP(C325,customers!A$1:$A$1001,customers!$B$1:$B$1001,0)</f>
        <v>Donica Bonhome</v>
      </c>
      <c r="G325" s="2" t="str">
        <f>IF(_xlfn.XLOOKUP(C325,customers!$A$1:$A$1001,customers!$C$1:$C$1001,0)=0,"",_xlfn.XLOOKUP(C325,customers!$A$1:$A$1001,customers!$C$1:$C$1001))</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6">
        <f>INDEX(products!$A$1:$G$49,MATCH(orders!$D325,products!$A$1:$A$49,0),MATCH(orders!L$1,products!$A$1:$G$1,0))</f>
        <v>3.645</v>
      </c>
      <c r="M325" s="6">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cm="1">
        <f t="array" ref="F326">_xlfn.XLOOKUP(C326,customers!A$1:$A$1001,customers!$B$1:$B$1001,0)</f>
        <v>Diena Peetermann</v>
      </c>
      <c r="G326" s="2" t="str">
        <f>IF(_xlfn.XLOOKUP(C326,customers!$A$1:$A$1001,customers!$C$1:$C$1001,0)=0,"",_xlfn.XLOOKUP(C326,customers!$A$1:$A$1001,customers!$C$1:$C$1001))</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6">
        <f>INDEX(products!$A$1:$G$49,MATCH(orders!$D326,products!$A$1:$A$49,0),MATCH(orders!L$1,products!$A$1:$G$1,0))</f>
        <v>13.75</v>
      </c>
      <c r="M326" s="6">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cm="1">
        <f t="array" ref="F327">_xlfn.XLOOKUP(C327,customers!A$1:$A$1001,customers!$B$1:$B$1001,0)</f>
        <v>Trina Le Sarr</v>
      </c>
      <c r="G327" s="2" t="str">
        <f>IF(_xlfn.XLOOKUP(C327,customers!$A$1:$A$1001,customers!$C$1:$C$1001,0)=0,"",_xlfn.XLOOKUP(C327,customers!$A$1:$A$1001,customers!$C$1:$C$1001))</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6">
        <f>INDEX(products!$A$1:$G$49,MATCH(orders!$D327,products!$A$1:$A$49,0),MATCH(orders!L$1,products!$A$1:$G$1,0))</f>
        <v>29.784999999999997</v>
      </c>
      <c r="M327" s="6">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cm="1">
        <f t="array" ref="F328">_xlfn.XLOOKUP(C328,customers!A$1:$A$1001,customers!$B$1:$B$1001,0)</f>
        <v>Flynn Antony</v>
      </c>
      <c r="G328" s="2" t="str">
        <f>IF(_xlfn.XLOOKUP(C328,customers!$A$1:$A$1001,customers!$C$1:$C$1001,0)=0,"",_xlfn.XLOOKUP(C328,customers!$A$1:$A$1001,customers!$C$1:$C$1001))</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6">
        <f>INDEX(products!$A$1:$G$49,MATCH(orders!$D328,products!$A$1:$A$49,0),MATCH(orders!L$1,products!$A$1:$G$1,0))</f>
        <v>8.9499999999999993</v>
      </c>
      <c r="M328" s="6">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cm="1">
        <f t="array" ref="F329">_xlfn.XLOOKUP(C329,customers!A$1:$A$1001,customers!$B$1:$B$1001,0)</f>
        <v>Baudoin Alldridge</v>
      </c>
      <c r="G329" s="2" t="str">
        <f>IF(_xlfn.XLOOKUP(C329,customers!$A$1:$A$1001,customers!$C$1:$C$1001,0)=0,"",_xlfn.XLOOKUP(C329,customers!$A$1:$A$1001,customers!$C$1:$C$1001))</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6">
        <f>INDEX(products!$A$1:$G$49,MATCH(orders!$D329,products!$A$1:$A$49,0),MATCH(orders!L$1,products!$A$1:$G$1,0))</f>
        <v>8.9499999999999993</v>
      </c>
      <c r="M329" s="6">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cm="1">
        <f t="array" ref="F330">_xlfn.XLOOKUP(C330,customers!A$1:$A$1001,customers!$B$1:$B$1001,0)</f>
        <v>Homer Dulany</v>
      </c>
      <c r="G330" s="2" t="str">
        <f>IF(_xlfn.XLOOKUP(C330,customers!$A$1:$A$1001,customers!$C$1:$C$1001,0)=0,"",_xlfn.XLOOKUP(C330,customers!$A$1:$A$1001,customers!$C$1:$C$1001))</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6">
        <f>INDEX(products!$A$1:$G$49,MATCH(orders!$D330,products!$A$1:$A$49,0),MATCH(orders!L$1,products!$A$1:$G$1,0))</f>
        <v>9.51</v>
      </c>
      <c r="M330" s="6">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cm="1">
        <f t="array" ref="F331">_xlfn.XLOOKUP(C331,customers!A$1:$A$1001,customers!$B$1:$B$1001,0)</f>
        <v>Lisa Goodger</v>
      </c>
      <c r="G331" s="2" t="str">
        <f>IF(_xlfn.XLOOKUP(C331,customers!$A$1:$A$1001,customers!$C$1:$C$1001,0)=0,"",_xlfn.XLOOKUP(C331,customers!$A$1:$A$1001,customers!$C$1:$C$1001))</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6">
        <f>INDEX(products!$A$1:$G$49,MATCH(orders!$D331,products!$A$1:$A$49,0),MATCH(orders!L$1,products!$A$1:$G$1,0))</f>
        <v>5.3699999999999992</v>
      </c>
      <c r="M331" s="6">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cm="1">
        <f t="array" ref="F332">_xlfn.XLOOKUP(C332,customers!A$1:$A$1001,customers!$B$1:$B$1001,0)</f>
        <v>Selma McMillian</v>
      </c>
      <c r="G332" s="2" t="str">
        <f>IF(_xlfn.XLOOKUP(C332,customers!$A$1:$A$1001,customers!$C$1:$C$1001,0)=0,"",_xlfn.XLOOKUP(C332,customers!$A$1:$A$1001,customers!$C$1:$C$1001))</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6">
        <f>INDEX(products!$A$1:$G$49,MATCH(orders!$D332,products!$A$1:$A$49,0),MATCH(orders!L$1,products!$A$1:$G$1,0))</f>
        <v>5.3699999999999992</v>
      </c>
      <c r="M332" s="6">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cm="1">
        <f t="array" ref="F333">_xlfn.XLOOKUP(C333,customers!A$1:$A$1001,customers!$B$1:$B$1001,0)</f>
        <v>Corine Drewett</v>
      </c>
      <c r="G333" s="2" t="str">
        <f>IF(_xlfn.XLOOKUP(C333,customers!$A$1:$A$1001,customers!$C$1:$C$1001,0)=0,"",_xlfn.XLOOKUP(C333,customers!$A$1:$A$1001,customers!$C$1:$C$1001))</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6">
        <f>INDEX(products!$A$1:$G$49,MATCH(orders!$D333,products!$A$1:$A$49,0),MATCH(orders!L$1,products!$A$1:$G$1,0))</f>
        <v>22.884999999999998</v>
      </c>
      <c r="M333" s="6">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cm="1">
        <f t="array" ref="F334">_xlfn.XLOOKUP(C334,customers!A$1:$A$1001,customers!$B$1:$B$1001,0)</f>
        <v>Quinn Parsons</v>
      </c>
      <c r="G334" s="2" t="str">
        <f>IF(_xlfn.XLOOKUP(C334,customers!$A$1:$A$1001,customers!$C$1:$C$1001,0)=0,"",_xlfn.XLOOKUP(C334,customers!$A$1:$A$1001,customers!$C$1:$C$1001))</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6">
        <f>INDEX(products!$A$1:$G$49,MATCH(orders!$D334,products!$A$1:$A$49,0),MATCH(orders!L$1,products!$A$1:$G$1,0))</f>
        <v>5.97</v>
      </c>
      <c r="M334" s="6">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cm="1">
        <f t="array" ref="F335">_xlfn.XLOOKUP(C335,customers!A$1:$A$1001,customers!$B$1:$B$1001,0)</f>
        <v>Vivyan Ceely</v>
      </c>
      <c r="G335" s="2" t="str">
        <f>IF(_xlfn.XLOOKUP(C335,customers!$A$1:$A$1001,customers!$C$1:$C$1001,0)=0,"",_xlfn.XLOOKUP(C335,customers!$A$1:$A$1001,customers!$C$1:$C$1001))</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6">
        <f>INDEX(products!$A$1:$G$49,MATCH(orders!$D335,products!$A$1:$A$49,0),MATCH(orders!L$1,products!$A$1:$G$1,0))</f>
        <v>5.97</v>
      </c>
      <c r="M335" s="6">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cm="1">
        <f t="array" ref="F336">_xlfn.XLOOKUP(C336,customers!A$1:$A$1001,customers!$B$1:$B$1001,0)</f>
        <v>Elonore Goodings</v>
      </c>
      <c r="G336" s="2" t="str">
        <f>IF(_xlfn.XLOOKUP(C336,customers!$A$1:$A$1001,customers!$C$1:$C$1001,0)=0,"",_xlfn.XLOOKUP(C336,customers!$A$1:$A$1001,customers!$C$1:$C$1001))</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6">
        <f>INDEX(products!$A$1:$G$49,MATCH(orders!$D336,products!$A$1:$A$49,0),MATCH(orders!L$1,products!$A$1:$G$1,0))</f>
        <v>11.95</v>
      </c>
      <c r="M336" s="6">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cm="1">
        <f t="array" ref="F337">_xlfn.XLOOKUP(C337,customers!A$1:$A$1001,customers!$B$1:$B$1001,0)</f>
        <v>Clement Vasiliev</v>
      </c>
      <c r="G337" s="2" t="str">
        <f>IF(_xlfn.XLOOKUP(C337,customers!$A$1:$A$1001,customers!$C$1:$C$1001,0)=0,"",_xlfn.XLOOKUP(C337,customers!$A$1:$A$1001,customers!$C$1:$C$1001))</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6">
        <f>INDEX(products!$A$1:$G$49,MATCH(orders!$D337,products!$A$1:$A$49,0),MATCH(orders!L$1,products!$A$1:$G$1,0))</f>
        <v>4.7549999999999999</v>
      </c>
      <c r="M337" s="6">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cm="1">
        <f t="array" ref="F338">_xlfn.XLOOKUP(C338,customers!A$1:$A$1001,customers!$B$1:$B$1001,0)</f>
        <v>Terencio O'Moylan</v>
      </c>
      <c r="G338" s="2" t="str">
        <f>IF(_xlfn.XLOOKUP(C338,customers!$A$1:$A$1001,customers!$C$1:$C$1001,0)=0,"",_xlfn.XLOOKUP(C338,customers!$A$1:$A$1001,customers!$C$1:$C$1001))</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6">
        <f>INDEX(products!$A$1:$G$49,MATCH(orders!$D338,products!$A$1:$A$49,0),MATCH(orders!L$1,products!$A$1:$G$1,0))</f>
        <v>11.25</v>
      </c>
      <c r="M338" s="6">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cm="1">
        <f t="array" ref="F339">_xlfn.XLOOKUP(C339,customers!A$1:$A$1001,customers!$B$1:$B$1001,0)</f>
        <v>Flynn Antony</v>
      </c>
      <c r="G339" s="2" t="str">
        <f>IF(_xlfn.XLOOKUP(C339,customers!$A$1:$A$1001,customers!$C$1:$C$1001,0)=0,"",_xlfn.XLOOKUP(C339,customers!$A$1:$A$1001,customers!$C$1:$C$1001))</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6">
        <f>INDEX(products!$A$1:$G$49,MATCH(orders!$D339,products!$A$1:$A$49,0),MATCH(orders!L$1,products!$A$1:$G$1,0))</f>
        <v>27.945</v>
      </c>
      <c r="M339" s="6">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cm="1">
        <f t="array" ref="F340">_xlfn.XLOOKUP(C340,customers!A$1:$A$1001,customers!$B$1:$B$1001,0)</f>
        <v>Wyatan Fetherston</v>
      </c>
      <c r="G340" s="2" t="str">
        <f>IF(_xlfn.XLOOKUP(C340,customers!$A$1:$A$1001,customers!$C$1:$C$1001,0)=0,"",_xlfn.XLOOKUP(C340,customers!$A$1:$A$1001,customers!$C$1:$C$1001))</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6">
        <f>INDEX(products!$A$1:$G$49,MATCH(orders!$D340,products!$A$1:$A$49,0),MATCH(orders!L$1,products!$A$1:$G$1,0))</f>
        <v>14.85</v>
      </c>
      <c r="M340" s="6">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cm="1">
        <f t="array" ref="F341">_xlfn.XLOOKUP(C341,customers!A$1:$A$1001,customers!$B$1:$B$1001,0)</f>
        <v>Emmaline Rasmus</v>
      </c>
      <c r="G341" s="2" t="str">
        <f>IF(_xlfn.XLOOKUP(C341,customers!$A$1:$A$1001,customers!$C$1:$C$1001,0)=0,"",_xlfn.XLOOKUP(C341,customers!$A$1:$A$1001,customers!$C$1:$C$1001))</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6">
        <f>INDEX(products!$A$1:$G$49,MATCH(orders!$D341,products!$A$1:$A$49,0),MATCH(orders!L$1,products!$A$1:$G$1,0))</f>
        <v>3.645</v>
      </c>
      <c r="M341" s="6">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cm="1">
        <f t="array" ref="F342">_xlfn.XLOOKUP(C342,customers!A$1:$A$1001,customers!$B$1:$B$1001,0)</f>
        <v>Wesley Giorgioni</v>
      </c>
      <c r="G342" s="2" t="str">
        <f>IF(_xlfn.XLOOKUP(C342,customers!$A$1:$A$1001,customers!$C$1:$C$1001,0)=0,"",_xlfn.XLOOKUP(C342,customers!$A$1:$A$1001,customers!$C$1:$C$1001))</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6">
        <f>INDEX(products!$A$1:$G$49,MATCH(orders!$D342,products!$A$1:$A$49,0),MATCH(orders!L$1,products!$A$1:$G$1,0))</f>
        <v>7.29</v>
      </c>
      <c r="M342" s="6">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cm="1">
        <f t="array" ref="F343">_xlfn.XLOOKUP(C343,customers!A$1:$A$1001,customers!$B$1:$B$1001,0)</f>
        <v>Lucienne Scargle</v>
      </c>
      <c r="G343" s="2" t="str">
        <f>IF(_xlfn.XLOOKUP(C343,customers!$A$1:$A$1001,customers!$C$1:$C$1001,0)=0,"",_xlfn.XLOOKUP(C343,customers!$A$1:$A$1001,customers!$C$1:$C$1001))</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6">
        <f>INDEX(products!$A$1:$G$49,MATCH(orders!$D343,products!$A$1:$A$49,0),MATCH(orders!L$1,products!$A$1:$G$1,0))</f>
        <v>8.91</v>
      </c>
      <c r="M343" s="6">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cm="1">
        <f t="array" ref="F344">_xlfn.XLOOKUP(C344,customers!A$1:$A$1001,customers!$B$1:$B$1001,0)</f>
        <v>Lucienne Scargle</v>
      </c>
      <c r="G344" s="2" t="str">
        <f>IF(_xlfn.XLOOKUP(C344,customers!$A$1:$A$1001,customers!$C$1:$C$1001,0)=0,"",_xlfn.XLOOKUP(C344,customers!$A$1:$A$1001,customers!$C$1:$C$1001))</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6">
        <f>INDEX(products!$A$1:$G$49,MATCH(orders!$D344,products!$A$1:$A$49,0),MATCH(orders!L$1,products!$A$1:$G$1,0))</f>
        <v>7.77</v>
      </c>
      <c r="M344" s="6">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cm="1">
        <f t="array" ref="F345">_xlfn.XLOOKUP(C345,customers!A$1:$A$1001,customers!$B$1:$B$1001,0)</f>
        <v>Noam Climance</v>
      </c>
      <c r="G345" s="2" t="str">
        <f>IF(_xlfn.XLOOKUP(C345,customers!$A$1:$A$1001,customers!$C$1:$C$1001,0)=0,"",_xlfn.XLOOKUP(C345,customers!$A$1:$A$1001,customers!$C$1:$C$1001))</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6">
        <f>INDEX(products!$A$1:$G$49,MATCH(orders!$D345,products!$A$1:$A$49,0),MATCH(orders!L$1,products!$A$1:$G$1,0))</f>
        <v>5.3699999999999992</v>
      </c>
      <c r="M345" s="6">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cm="1">
        <f t="array" ref="F346">_xlfn.XLOOKUP(C346,customers!A$1:$A$1001,customers!$B$1:$B$1001,0)</f>
        <v>Catarina Donn</v>
      </c>
      <c r="G346" s="2" t="str">
        <f>IF(_xlfn.XLOOKUP(C346,customers!$A$1:$A$1001,customers!$C$1:$C$1001,0)=0,"",_xlfn.XLOOKUP(C346,customers!$A$1:$A$1001,customers!$C$1:$C$1001))</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6">
        <f>INDEX(products!$A$1:$G$49,MATCH(orders!$D346,products!$A$1:$A$49,0),MATCH(orders!L$1,products!$A$1:$G$1,0))</f>
        <v>9.9499999999999993</v>
      </c>
      <c r="M346" s="6">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cm="1">
        <f t="array" ref="F347">_xlfn.XLOOKUP(C347,customers!A$1:$A$1001,customers!$B$1:$B$1001,0)</f>
        <v>Ameline Snazle</v>
      </c>
      <c r="G347" s="2" t="str">
        <f>IF(_xlfn.XLOOKUP(C347,customers!$A$1:$A$1001,customers!$C$1:$C$1001,0)=0,"",_xlfn.XLOOKUP(C347,customers!$A$1:$A$1001,customers!$C$1:$C$1001))</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6">
        <f>INDEX(products!$A$1:$G$49,MATCH(orders!$D347,products!$A$1:$A$49,0),MATCH(orders!L$1,products!$A$1:$G$1,0))</f>
        <v>11.95</v>
      </c>
      <c r="M347" s="6">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cm="1">
        <f t="array" ref="F348">_xlfn.XLOOKUP(C348,customers!A$1:$A$1001,customers!$B$1:$B$1001,0)</f>
        <v>Rebeka Worg</v>
      </c>
      <c r="G348" s="2" t="str">
        <f>IF(_xlfn.XLOOKUP(C348,customers!$A$1:$A$1001,customers!$C$1:$C$1001,0)=0,"",_xlfn.XLOOKUP(C348,customers!$A$1:$A$1001,customers!$C$1:$C$1001))</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6">
        <f>INDEX(products!$A$1:$G$49,MATCH(orders!$D348,products!$A$1:$A$49,0),MATCH(orders!L$1,products!$A$1:$G$1,0))</f>
        <v>7.77</v>
      </c>
      <c r="M348" s="6">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cm="1">
        <f t="array" ref="F349">_xlfn.XLOOKUP(C349,customers!A$1:$A$1001,customers!$B$1:$B$1001,0)</f>
        <v>Lewes Danes</v>
      </c>
      <c r="G349" s="2" t="str">
        <f>IF(_xlfn.XLOOKUP(C349,customers!$A$1:$A$1001,customers!$C$1:$C$1001,0)=0,"",_xlfn.XLOOKUP(C349,customers!$A$1:$A$1001,customers!$C$1:$C$1001))</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6">
        <f>INDEX(products!$A$1:$G$49,MATCH(orders!$D349,products!$A$1:$A$49,0),MATCH(orders!L$1,products!$A$1:$G$1,0))</f>
        <v>14.55</v>
      </c>
      <c r="M349" s="6">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cm="1">
        <f t="array" ref="F350">_xlfn.XLOOKUP(C350,customers!A$1:$A$1001,customers!$B$1:$B$1001,0)</f>
        <v>Shelli Keynd</v>
      </c>
      <c r="G350" s="2" t="str">
        <f>IF(_xlfn.XLOOKUP(C350,customers!$A$1:$A$1001,customers!$C$1:$C$1001,0)=0,"",_xlfn.XLOOKUP(C350,customers!$A$1:$A$1001,customers!$C$1:$C$1001))</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6">
        <f>INDEX(products!$A$1:$G$49,MATCH(orders!$D350,products!$A$1:$A$49,0),MATCH(orders!L$1,products!$A$1:$G$1,0))</f>
        <v>34.154999999999994</v>
      </c>
      <c r="M350" s="6">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cm="1">
        <f t="array" ref="F351">_xlfn.XLOOKUP(C351,customers!A$1:$A$1001,customers!$B$1:$B$1001,0)</f>
        <v>Dell Daveridge</v>
      </c>
      <c r="G351" s="2" t="str">
        <f>IF(_xlfn.XLOOKUP(C351,customers!$A$1:$A$1001,customers!$C$1:$C$1001,0)=0,"",_xlfn.XLOOKUP(C351,customers!$A$1:$A$1001,customers!$C$1:$C$1001))</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6">
        <f>INDEX(products!$A$1:$G$49,MATCH(orders!$D351,products!$A$1:$A$49,0),MATCH(orders!L$1,products!$A$1:$G$1,0))</f>
        <v>3.5849999999999995</v>
      </c>
      <c r="M351" s="6">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cm="1">
        <f t="array" ref="F352">_xlfn.XLOOKUP(C352,customers!A$1:$A$1001,customers!$B$1:$B$1001,0)</f>
        <v>Joshuah Awdry</v>
      </c>
      <c r="G352" s="2" t="str">
        <f>IF(_xlfn.XLOOKUP(C352,customers!$A$1:$A$1001,customers!$C$1:$C$1001,0)=0,"",_xlfn.XLOOKUP(C352,customers!$A$1:$A$1001,customers!$C$1:$C$1001))</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6">
        <f>INDEX(products!$A$1:$G$49,MATCH(orders!$D352,products!$A$1:$A$49,0),MATCH(orders!L$1,products!$A$1:$G$1,0))</f>
        <v>5.97</v>
      </c>
      <c r="M352" s="6">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cm="1">
        <f t="array" ref="F353">_xlfn.XLOOKUP(C353,customers!A$1:$A$1001,customers!$B$1:$B$1001,0)</f>
        <v>Ethel Ryles</v>
      </c>
      <c r="G353" s="2" t="str">
        <f>IF(_xlfn.XLOOKUP(C353,customers!$A$1:$A$1001,customers!$C$1:$C$1001,0)=0,"",_xlfn.XLOOKUP(C353,customers!$A$1:$A$1001,customers!$C$1:$C$1001))</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6">
        <f>INDEX(products!$A$1:$G$49,MATCH(orders!$D353,products!$A$1:$A$49,0),MATCH(orders!L$1,products!$A$1:$G$1,0))</f>
        <v>11.25</v>
      </c>
      <c r="M353" s="6">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cm="1">
        <f t="array" ref="F354">_xlfn.XLOOKUP(C354,customers!A$1:$A$1001,customers!$B$1:$B$1001,0)</f>
        <v>Flynn Antony</v>
      </c>
      <c r="G354" s="2" t="str">
        <f>IF(_xlfn.XLOOKUP(C354,customers!$A$1:$A$1001,customers!$C$1:$C$1001,0)=0,"",_xlfn.XLOOKUP(C354,customers!$A$1:$A$1001,customers!$C$1:$C$1001))</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6">
        <f>INDEX(products!$A$1:$G$49,MATCH(orders!$D354,products!$A$1:$A$49,0),MATCH(orders!L$1,products!$A$1:$G$1,0))</f>
        <v>7.29</v>
      </c>
      <c r="M354" s="6">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cm="1">
        <f t="array" ref="F355">_xlfn.XLOOKUP(C355,customers!A$1:$A$1001,customers!$B$1:$B$1001,0)</f>
        <v>Maitilde Boxill</v>
      </c>
      <c r="G355" s="2" t="str">
        <f>IF(_xlfn.XLOOKUP(C355,customers!$A$1:$A$1001,customers!$C$1:$C$1001,0)=0,"",_xlfn.XLOOKUP(C355,customers!$A$1:$A$1001,customers!$C$1:$C$1001))</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6">
        <f>INDEX(products!$A$1:$G$49,MATCH(orders!$D355,products!$A$1:$A$49,0),MATCH(orders!L$1,products!$A$1:$G$1,0))</f>
        <v>6.75</v>
      </c>
      <c r="M355" s="6">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cm="1">
        <f t="array" ref="F356">_xlfn.XLOOKUP(C356,customers!A$1:$A$1001,customers!$B$1:$B$1001,0)</f>
        <v>Jodee Caldicott</v>
      </c>
      <c r="G356" s="2" t="str">
        <f>IF(_xlfn.XLOOKUP(C356,customers!$A$1:$A$1001,customers!$C$1:$C$1001,0)=0,"",_xlfn.XLOOKUP(C356,customers!$A$1:$A$1001,customers!$C$1:$C$1001))</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6">
        <f>INDEX(products!$A$1:$G$49,MATCH(orders!$D356,products!$A$1:$A$49,0),MATCH(orders!L$1,products!$A$1:$G$1,0))</f>
        <v>25.874999999999996</v>
      </c>
      <c r="M356" s="6">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cm="1">
        <f t="array" ref="F357">_xlfn.XLOOKUP(C357,customers!A$1:$A$1001,customers!$B$1:$B$1001,0)</f>
        <v>Marianna Vedmore</v>
      </c>
      <c r="G357" s="2" t="str">
        <f>IF(_xlfn.XLOOKUP(C357,customers!$A$1:$A$1001,customers!$C$1:$C$1001,0)=0,"",_xlfn.XLOOKUP(C357,customers!$A$1:$A$1001,customers!$C$1:$C$1001))</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6">
        <f>INDEX(products!$A$1:$G$49,MATCH(orders!$D357,products!$A$1:$A$49,0),MATCH(orders!L$1,products!$A$1:$G$1,0))</f>
        <v>22.884999999999998</v>
      </c>
      <c r="M357" s="6">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cm="1">
        <f t="array" ref="F358">_xlfn.XLOOKUP(C358,customers!A$1:$A$1001,customers!$B$1:$B$1001,0)</f>
        <v>Willey Romao</v>
      </c>
      <c r="G358" s="2" t="str">
        <f>IF(_xlfn.XLOOKUP(C358,customers!$A$1:$A$1001,customers!$C$1:$C$1001,0)=0,"",_xlfn.XLOOKUP(C358,customers!$A$1:$A$1001,customers!$C$1:$C$1001))</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6">
        <f>INDEX(products!$A$1:$G$49,MATCH(orders!$D358,products!$A$1:$A$49,0),MATCH(orders!L$1,products!$A$1:$G$1,0))</f>
        <v>12.95</v>
      </c>
      <c r="M358" s="6">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cm="1">
        <f t="array" ref="F359">_xlfn.XLOOKUP(C359,customers!A$1:$A$1001,customers!$B$1:$B$1001,0)</f>
        <v>Enriqueta Ixor</v>
      </c>
      <c r="G359" s="2" t="str">
        <f>IF(_xlfn.XLOOKUP(C359,customers!$A$1:$A$1001,customers!$C$1:$C$1001,0)=0,"",_xlfn.XLOOKUP(C359,customers!$A$1:$A$1001,customers!$C$1:$C$1001))</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6">
        <f>INDEX(products!$A$1:$G$49,MATCH(orders!$D359,products!$A$1:$A$49,0),MATCH(orders!L$1,products!$A$1:$G$1,0))</f>
        <v>25.874999999999996</v>
      </c>
      <c r="M359" s="6">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cm="1">
        <f t="array" ref="F360">_xlfn.XLOOKUP(C360,customers!A$1:$A$1001,customers!$B$1:$B$1001,0)</f>
        <v>Tomasina Cotmore</v>
      </c>
      <c r="G360" s="2" t="str">
        <f>IF(_xlfn.XLOOKUP(C360,customers!$A$1:$A$1001,customers!$C$1:$C$1001,0)=0,"",_xlfn.XLOOKUP(C360,customers!$A$1:$A$1001,customers!$C$1:$C$1001))</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6">
        <f>INDEX(products!$A$1:$G$49,MATCH(orders!$D360,products!$A$1:$A$49,0),MATCH(orders!L$1,products!$A$1:$G$1,0))</f>
        <v>29.784999999999997</v>
      </c>
      <c r="M360" s="6">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cm="1">
        <f t="array" ref="F361">_xlfn.XLOOKUP(C361,customers!A$1:$A$1001,customers!$B$1:$B$1001,0)</f>
        <v>Yuma Skipsey</v>
      </c>
      <c r="G361" s="2" t="str">
        <f>IF(_xlfn.XLOOKUP(C361,customers!$A$1:$A$1001,customers!$C$1:$C$1001,0)=0,"",_xlfn.XLOOKUP(C361,customers!$A$1:$A$1001,customers!$C$1:$C$1001))</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6">
        <f>INDEX(products!$A$1:$G$49,MATCH(orders!$D361,products!$A$1:$A$49,0),MATCH(orders!L$1,products!$A$1:$G$1,0))</f>
        <v>3.5849999999999995</v>
      </c>
      <c r="M361" s="6">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cm="1">
        <f t="array" ref="F362">_xlfn.XLOOKUP(C362,customers!A$1:$A$1001,customers!$B$1:$B$1001,0)</f>
        <v>Nicko Corps</v>
      </c>
      <c r="G362" s="2" t="str">
        <f>IF(_xlfn.XLOOKUP(C362,customers!$A$1:$A$1001,customers!$C$1:$C$1001,0)=0,"",_xlfn.XLOOKUP(C362,customers!$A$1:$A$1001,customers!$C$1:$C$1001))</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6">
        <f>INDEX(products!$A$1:$G$49,MATCH(orders!$D362,products!$A$1:$A$49,0),MATCH(orders!L$1,products!$A$1:$G$1,0))</f>
        <v>20.584999999999997</v>
      </c>
      <c r="M362" s="6">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cm="1">
        <f t="array" ref="F363">_xlfn.XLOOKUP(C363,customers!A$1:$A$1001,customers!$B$1:$B$1001,0)</f>
        <v>Nicko Corps</v>
      </c>
      <c r="G363" s="2" t="str">
        <f>IF(_xlfn.XLOOKUP(C363,customers!$A$1:$A$1001,customers!$C$1:$C$1001,0)=0,"",_xlfn.XLOOKUP(C363,customers!$A$1:$A$1001,customers!$C$1:$C$1001))</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6">
        <f>INDEX(products!$A$1:$G$49,MATCH(orders!$D363,products!$A$1:$A$49,0),MATCH(orders!L$1,products!$A$1:$G$1,0))</f>
        <v>5.97</v>
      </c>
      <c r="M363" s="6">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cm="1">
        <f t="array" ref="F364">_xlfn.XLOOKUP(C364,customers!A$1:$A$1001,customers!$B$1:$B$1001,0)</f>
        <v>Feliks Babber</v>
      </c>
      <c r="G364" s="2" t="str">
        <f>IF(_xlfn.XLOOKUP(C364,customers!$A$1:$A$1001,customers!$C$1:$C$1001,0)=0,"",_xlfn.XLOOKUP(C364,customers!$A$1:$A$1001,customers!$C$1:$C$1001))</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6">
        <f>INDEX(products!$A$1:$G$49,MATCH(orders!$D364,products!$A$1:$A$49,0),MATCH(orders!L$1,products!$A$1:$G$1,0))</f>
        <v>14.85</v>
      </c>
      <c r="M364" s="6">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cm="1">
        <f t="array" ref="F365">_xlfn.XLOOKUP(C365,customers!A$1:$A$1001,customers!$B$1:$B$1001,0)</f>
        <v>Kaja Loxton</v>
      </c>
      <c r="G365" s="2" t="str">
        <f>IF(_xlfn.XLOOKUP(C365,customers!$A$1:$A$1001,customers!$C$1:$C$1001,0)=0,"",_xlfn.XLOOKUP(C365,customers!$A$1:$A$1001,customers!$C$1:$C$1001))</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6">
        <f>INDEX(products!$A$1:$G$49,MATCH(orders!$D365,products!$A$1:$A$49,0),MATCH(orders!L$1,products!$A$1:$G$1,0))</f>
        <v>14.55</v>
      </c>
      <c r="M365" s="6">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cm="1">
        <f t="array" ref="F366">_xlfn.XLOOKUP(C366,customers!A$1:$A$1001,customers!$B$1:$B$1001,0)</f>
        <v>Parker Tofful</v>
      </c>
      <c r="G366" s="2" t="str">
        <f>IF(_xlfn.XLOOKUP(C366,customers!$A$1:$A$1001,customers!$C$1:$C$1001,0)=0,"",_xlfn.XLOOKUP(C366,customers!$A$1:$A$1001,customers!$C$1:$C$1001))</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6">
        <f>INDEX(products!$A$1:$G$49,MATCH(orders!$D366,products!$A$1:$A$49,0),MATCH(orders!L$1,products!$A$1:$G$1,0))</f>
        <v>12.15</v>
      </c>
      <c r="M366" s="6">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cm="1">
        <f t="array" ref="F367">_xlfn.XLOOKUP(C367,customers!A$1:$A$1001,customers!$B$1:$B$1001,0)</f>
        <v>Casi Gwinnett</v>
      </c>
      <c r="G367" s="2" t="str">
        <f>IF(_xlfn.XLOOKUP(C367,customers!$A$1:$A$1001,customers!$C$1:$C$1001,0)=0,"",_xlfn.XLOOKUP(C367,customers!$A$1:$A$1001,customers!$C$1:$C$1001))</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6">
        <f>INDEX(products!$A$1:$G$49,MATCH(orders!$D367,products!$A$1:$A$49,0),MATCH(orders!L$1,products!$A$1:$G$1,0))</f>
        <v>7.77</v>
      </c>
      <c r="M367" s="6">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cm="1">
        <f t="array" ref="F368">_xlfn.XLOOKUP(C368,customers!A$1:$A$1001,customers!$B$1:$B$1001,0)</f>
        <v>Saree Ellesworth</v>
      </c>
      <c r="G368" s="2" t="str">
        <f>IF(_xlfn.XLOOKUP(C368,customers!$A$1:$A$1001,customers!$C$1:$C$1001,0)=0,"",_xlfn.XLOOKUP(C368,customers!$A$1:$A$1001,customers!$C$1:$C$1001))</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6">
        <f>INDEX(products!$A$1:$G$49,MATCH(orders!$D368,products!$A$1:$A$49,0),MATCH(orders!L$1,products!$A$1:$G$1,0))</f>
        <v>7.29</v>
      </c>
      <c r="M368" s="6">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cm="1">
        <f t="array" ref="F369">_xlfn.XLOOKUP(C369,customers!A$1:$A$1001,customers!$B$1:$B$1001,0)</f>
        <v>Silvio Iorizzi</v>
      </c>
      <c r="G369" s="2" t="str">
        <f>IF(_xlfn.XLOOKUP(C369,customers!$A$1:$A$1001,customers!$C$1:$C$1001,0)=0,"",_xlfn.XLOOKUP(C369,customers!$A$1:$A$1001,customers!$C$1:$C$1001))</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6">
        <f>INDEX(products!$A$1:$G$49,MATCH(orders!$D369,products!$A$1:$A$49,0),MATCH(orders!L$1,products!$A$1:$G$1,0))</f>
        <v>4.3650000000000002</v>
      </c>
      <c r="M369" s="6">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cm="1">
        <f t="array" ref="F370">_xlfn.XLOOKUP(C370,customers!A$1:$A$1001,customers!$B$1:$B$1001,0)</f>
        <v>Leesa Flaonier</v>
      </c>
      <c r="G370" s="2" t="str">
        <f>IF(_xlfn.XLOOKUP(C370,customers!$A$1:$A$1001,customers!$C$1:$C$1001,0)=0,"",_xlfn.XLOOKUP(C370,customers!$A$1:$A$1001,customers!$C$1:$C$1001))</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6">
        <f>INDEX(products!$A$1:$G$49,MATCH(orders!$D370,products!$A$1:$A$49,0),MATCH(orders!L$1,products!$A$1:$G$1,0))</f>
        <v>31.624999999999996</v>
      </c>
      <c r="M370" s="6">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cm="1">
        <f t="array" ref="F371">_xlfn.XLOOKUP(C371,customers!A$1:$A$1001,customers!$B$1:$B$1001,0)</f>
        <v>Abba Pummell</v>
      </c>
      <c r="G371" s="2" t="str">
        <f>IF(_xlfn.XLOOKUP(C371,customers!$A$1:$A$1001,customers!$C$1:$C$1001,0)=0,"",_xlfn.XLOOKUP(C371,customers!$A$1:$A$1001,customers!$C$1:$C$1001))</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6">
        <f>INDEX(products!$A$1:$G$49,MATCH(orders!$D371,products!$A$1:$A$49,0),MATCH(orders!L$1,products!$A$1:$G$1,0))</f>
        <v>8.91</v>
      </c>
      <c r="M371" s="6">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cm="1">
        <f t="array" ref="F372">_xlfn.XLOOKUP(C372,customers!A$1:$A$1001,customers!$B$1:$B$1001,0)</f>
        <v>Corinna Catcheside</v>
      </c>
      <c r="G372" s="2" t="str">
        <f>IF(_xlfn.XLOOKUP(C372,customers!$A$1:$A$1001,customers!$C$1:$C$1001,0)=0,"",_xlfn.XLOOKUP(C372,customers!$A$1:$A$1001,customers!$C$1:$C$1001))</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6">
        <f>INDEX(products!$A$1:$G$49,MATCH(orders!$D372,products!$A$1:$A$49,0),MATCH(orders!L$1,products!$A$1:$G$1,0))</f>
        <v>12.15</v>
      </c>
      <c r="M372" s="6">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cm="1">
        <f t="array" ref="F373">_xlfn.XLOOKUP(C373,customers!A$1:$A$1001,customers!$B$1:$B$1001,0)</f>
        <v>Cortney Gibbonson</v>
      </c>
      <c r="G373" s="2" t="str">
        <f>IF(_xlfn.XLOOKUP(C373,customers!$A$1:$A$1001,customers!$C$1:$C$1001,0)=0,"",_xlfn.XLOOKUP(C373,customers!$A$1:$A$1001,customers!$C$1:$C$1001))</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6">
        <f>INDEX(products!$A$1:$G$49,MATCH(orders!$D373,products!$A$1:$A$49,0),MATCH(orders!L$1,products!$A$1:$G$1,0))</f>
        <v>7.77</v>
      </c>
      <c r="M373" s="6">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cm="1">
        <f t="array" ref="F374">_xlfn.XLOOKUP(C374,customers!A$1:$A$1001,customers!$B$1:$B$1001,0)</f>
        <v>Terri Farra</v>
      </c>
      <c r="G374" s="2" t="str">
        <f>IF(_xlfn.XLOOKUP(C374,customers!$A$1:$A$1001,customers!$C$1:$C$1001,0)=0,"",_xlfn.XLOOKUP(C374,customers!$A$1:$A$1001,customers!$C$1:$C$1001))</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6">
        <f>INDEX(products!$A$1:$G$49,MATCH(orders!$D374,products!$A$1:$A$49,0),MATCH(orders!L$1,products!$A$1:$G$1,0))</f>
        <v>7.169999999999999</v>
      </c>
      <c r="M374" s="6">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cm="1">
        <f t="array" ref="F375">_xlfn.XLOOKUP(C375,customers!A$1:$A$1001,customers!$B$1:$B$1001,0)</f>
        <v>Corney Curme</v>
      </c>
      <c r="G375" s="2" t="str">
        <f>IF(_xlfn.XLOOKUP(C375,customers!$A$1:$A$1001,customers!$C$1:$C$1001,0)=0,"",_xlfn.XLOOKUP(C375,customers!$A$1:$A$1001,customers!$C$1:$C$1001))</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6">
        <f>INDEX(products!$A$1:$G$49,MATCH(orders!$D375,products!$A$1:$A$49,0),MATCH(orders!L$1,products!$A$1:$G$1,0))</f>
        <v>5.97</v>
      </c>
      <c r="M375" s="6">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cm="1">
        <f t="array" ref="F376">_xlfn.XLOOKUP(C376,customers!A$1:$A$1001,customers!$B$1:$B$1001,0)</f>
        <v>Gothart Bamfield</v>
      </c>
      <c r="G376" s="2" t="str">
        <f>IF(_xlfn.XLOOKUP(C376,customers!$A$1:$A$1001,customers!$C$1:$C$1001,0)=0,"",_xlfn.XLOOKUP(C376,customers!$A$1:$A$1001,customers!$C$1:$C$1001))</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6">
        <f>INDEX(products!$A$1:$G$49,MATCH(orders!$D376,products!$A$1:$A$49,0),MATCH(orders!L$1,products!$A$1:$G$1,0))</f>
        <v>9.51</v>
      </c>
      <c r="M376" s="6">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cm="1">
        <f t="array" ref="F377">_xlfn.XLOOKUP(C377,customers!A$1:$A$1001,customers!$B$1:$B$1001,0)</f>
        <v>Waylin Hollingdale</v>
      </c>
      <c r="G377" s="2" t="str">
        <f>IF(_xlfn.XLOOKUP(C377,customers!$A$1:$A$1001,customers!$C$1:$C$1001,0)=0,"",_xlfn.XLOOKUP(C377,customers!$A$1:$A$1001,customers!$C$1:$C$1001))</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6">
        <f>INDEX(products!$A$1:$G$49,MATCH(orders!$D377,products!$A$1:$A$49,0),MATCH(orders!L$1,products!$A$1:$G$1,0))</f>
        <v>3.375</v>
      </c>
      <c r="M377" s="6">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cm="1">
        <f t="array" ref="F378">_xlfn.XLOOKUP(C378,customers!A$1:$A$1001,customers!$B$1:$B$1001,0)</f>
        <v>Judd De Leek</v>
      </c>
      <c r="G378" s="2" t="str">
        <f>IF(_xlfn.XLOOKUP(C378,customers!$A$1:$A$1001,customers!$C$1:$C$1001,0)=0,"",_xlfn.XLOOKUP(C378,customers!$A$1:$A$1001,customers!$C$1:$C$1001))</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6">
        <f>INDEX(products!$A$1:$G$49,MATCH(orders!$D378,products!$A$1:$A$49,0),MATCH(orders!L$1,products!$A$1:$G$1,0))</f>
        <v>5.97</v>
      </c>
      <c r="M378" s="6">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cm="1">
        <f t="array" ref="F379">_xlfn.XLOOKUP(C379,customers!A$1:$A$1001,customers!$B$1:$B$1001,0)</f>
        <v>Vanya Skullet</v>
      </c>
      <c r="G379" s="2" t="str">
        <f>IF(_xlfn.XLOOKUP(C379,customers!$A$1:$A$1001,customers!$C$1:$C$1001,0)=0,"",_xlfn.XLOOKUP(C379,customers!$A$1:$A$1001,customers!$C$1:$C$1001))</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6">
        <f>INDEX(products!$A$1:$G$49,MATCH(orders!$D379,products!$A$1:$A$49,0),MATCH(orders!L$1,products!$A$1:$G$1,0))</f>
        <v>2.6849999999999996</v>
      </c>
      <c r="M379" s="6">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cm="1">
        <f t="array" ref="F380">_xlfn.XLOOKUP(C380,customers!A$1:$A$1001,customers!$B$1:$B$1001,0)</f>
        <v>Jany Rudeforth</v>
      </c>
      <c r="G380" s="2" t="str">
        <f>IF(_xlfn.XLOOKUP(C380,customers!$A$1:$A$1001,customers!$C$1:$C$1001,0)=0,"",_xlfn.XLOOKUP(C380,customers!$A$1:$A$1001,customers!$C$1:$C$1001))</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6">
        <f>INDEX(products!$A$1:$G$49,MATCH(orders!$D380,products!$A$1:$A$49,0),MATCH(orders!L$1,products!$A$1:$G$1,0))</f>
        <v>7.77</v>
      </c>
      <c r="M380" s="6">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cm="1">
        <f t="array" ref="F381">_xlfn.XLOOKUP(C381,customers!A$1:$A$1001,customers!$B$1:$B$1001,0)</f>
        <v>Ashbey Tomaszewski</v>
      </c>
      <c r="G381" s="2" t="str">
        <f>IF(_xlfn.XLOOKUP(C381,customers!$A$1:$A$1001,customers!$C$1:$C$1001,0)=0,"",_xlfn.XLOOKUP(C381,customers!$A$1:$A$1001,customers!$C$1:$C$1001))</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6">
        <f>INDEX(products!$A$1:$G$49,MATCH(orders!$D381,products!$A$1:$A$49,0),MATCH(orders!L$1,products!$A$1:$G$1,0))</f>
        <v>7.169999999999999</v>
      </c>
      <c r="M381" s="6">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cm="1">
        <f t="array" ref="F382">_xlfn.XLOOKUP(C382,customers!A$1:$A$1001,customers!$B$1:$B$1001,0)</f>
        <v>Flynn Antony</v>
      </c>
      <c r="G382" s="2" t="str">
        <f>IF(_xlfn.XLOOKUP(C382,customers!$A$1:$A$1001,customers!$C$1:$C$1001,0)=0,"",_xlfn.XLOOKUP(C382,customers!$A$1:$A$1001,customers!$C$1:$C$1001))</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6">
        <f>INDEX(products!$A$1:$G$49,MATCH(orders!$D382,products!$A$1:$A$49,0),MATCH(orders!L$1,products!$A$1:$G$1,0))</f>
        <v>7.77</v>
      </c>
      <c r="M382" s="6">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cm="1">
        <f t="array" ref="F383">_xlfn.XLOOKUP(C383,customers!A$1:$A$1001,customers!$B$1:$B$1001,0)</f>
        <v>Pren Bess</v>
      </c>
      <c r="G383" s="2" t="str">
        <f>IF(_xlfn.XLOOKUP(C383,customers!$A$1:$A$1001,customers!$C$1:$C$1001,0)=0,"",_xlfn.XLOOKUP(C383,customers!$A$1:$A$1001,customers!$C$1:$C$1001))</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6">
        <f>INDEX(products!$A$1:$G$49,MATCH(orders!$D383,products!$A$1:$A$49,0),MATCH(orders!L$1,products!$A$1:$G$1,0))</f>
        <v>2.9849999999999999</v>
      </c>
      <c r="M383" s="6">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cm="1">
        <f t="array" ref="F384">_xlfn.XLOOKUP(C384,customers!A$1:$A$1001,customers!$B$1:$B$1001,0)</f>
        <v>Elka Windress</v>
      </c>
      <c r="G384" s="2" t="str">
        <f>IF(_xlfn.XLOOKUP(C384,customers!$A$1:$A$1001,customers!$C$1:$C$1001,0)=0,"",_xlfn.XLOOKUP(C384,customers!$A$1:$A$1001,customers!$C$1:$C$1001))</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6">
        <f>INDEX(products!$A$1:$G$49,MATCH(orders!$D384,products!$A$1:$A$49,0),MATCH(orders!L$1,products!$A$1:$G$1,0))</f>
        <v>7.29</v>
      </c>
      <c r="M384" s="6">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cm="1">
        <f t="array" ref="F385">_xlfn.XLOOKUP(C385,customers!A$1:$A$1001,customers!$B$1:$B$1001,0)</f>
        <v>Marty Kidstoun</v>
      </c>
      <c r="G385" s="2" t="str">
        <f>IF(_xlfn.XLOOKUP(C385,customers!$A$1:$A$1001,customers!$C$1:$C$1001,0)=0,"",_xlfn.XLOOKUP(C385,customers!$A$1:$A$1001,customers!$C$1:$C$1001))</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6">
        <f>INDEX(products!$A$1:$G$49,MATCH(orders!$D385,products!$A$1:$A$49,0),MATCH(orders!L$1,products!$A$1:$G$1,0))</f>
        <v>8.91</v>
      </c>
      <c r="M385" s="6">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cm="1">
        <f t="array" ref="F386">_xlfn.XLOOKUP(C386,customers!A$1:$A$1001,customers!$B$1:$B$1001,0)</f>
        <v>Nickey Dimbleby</v>
      </c>
      <c r="G386" s="2" t="str">
        <f>IF(_xlfn.XLOOKUP(C386,customers!$A$1:$A$1001,customers!$C$1:$C$1001,0)=0,"",_xlfn.XLOOKUP(C386,customers!$A$1:$A$1001,customers!$C$1:$C$1001))</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6">
        <f>INDEX(products!$A$1:$G$49,MATCH(orders!$D386,products!$A$1:$A$49,0),MATCH(orders!L$1,products!$A$1:$G$1,0))</f>
        <v>29.784999999999997</v>
      </c>
      <c r="M386" s="6">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cm="1">
        <f t="array" ref="F387">_xlfn.XLOOKUP(C387,customers!A$1:$A$1001,customers!$B$1:$B$1001,0)</f>
        <v>Virgil Baumadier</v>
      </c>
      <c r="G387" s="2" t="str">
        <f>IF(_xlfn.XLOOKUP(C387,customers!$A$1:$A$1001,customers!$C$1:$C$1001,0)=0,"",_xlfn.XLOOKUP(C387,customers!$A$1:$A$1001,customers!$C$1:$C$1001))</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6">
        <f>INDEX(products!$A$1:$G$49,MATCH(orders!$D387,products!$A$1:$A$49,0),MATCH(orders!L$1,products!$A$1:$G$1,0))</f>
        <v>8.73</v>
      </c>
      <c r="M387" s="6">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cm="1">
        <f t="array" ref="F388">_xlfn.XLOOKUP(C388,customers!A$1:$A$1001,customers!$B$1:$B$1001,0)</f>
        <v>Lenore Messenbird</v>
      </c>
      <c r="G388" s="2" t="str">
        <f>IF(_xlfn.XLOOKUP(C388,customers!$A$1:$A$1001,customers!$C$1:$C$1001,0)=0,"",_xlfn.XLOOKUP(C388,customers!$A$1:$A$1001,customers!$C$1:$C$1001))</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6">
        <f>INDEX(products!$A$1:$G$49,MATCH(orders!$D388,products!$A$1:$A$49,0),MATCH(orders!L$1,products!$A$1:$G$1,0))</f>
        <v>2.9849999999999999</v>
      </c>
      <c r="M388" s="6">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cm="1">
        <f t="array" ref="F389">_xlfn.XLOOKUP(C389,customers!A$1:$A$1001,customers!$B$1:$B$1001,0)</f>
        <v>Shirleen Welds</v>
      </c>
      <c r="G389" s="2" t="str">
        <f>IF(_xlfn.XLOOKUP(C389,customers!$A$1:$A$1001,customers!$C$1:$C$1001,0)=0,"",_xlfn.XLOOKUP(C389,customers!$A$1:$A$1001,customers!$C$1:$C$1001))</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6">
        <f>INDEX(products!$A$1:$G$49,MATCH(orders!$D389,products!$A$1:$A$49,0),MATCH(orders!L$1,products!$A$1:$G$1,0))</f>
        <v>14.85</v>
      </c>
      <c r="M389" s="6">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cm="1">
        <f t="array" ref="F390">_xlfn.XLOOKUP(C390,customers!A$1:$A$1001,customers!$B$1:$B$1001,0)</f>
        <v>Maisie Sarvar</v>
      </c>
      <c r="G390" s="2" t="str">
        <f>IF(_xlfn.XLOOKUP(C390,customers!$A$1:$A$1001,customers!$C$1:$C$1001,0)=0,"",_xlfn.XLOOKUP(C390,customers!$A$1:$A$1001,customers!$C$1:$C$1001))</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6">
        <f>INDEX(products!$A$1:$G$49,MATCH(orders!$D390,products!$A$1:$A$49,0),MATCH(orders!L$1,products!$A$1:$G$1,0))</f>
        <v>3.8849999999999998</v>
      </c>
      <c r="M390" s="6">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cm="1">
        <f t="array" ref="F391">_xlfn.XLOOKUP(C391,customers!A$1:$A$1001,customers!$B$1:$B$1001,0)</f>
        <v>Andrej Havick</v>
      </c>
      <c r="G391" s="2" t="str">
        <f>IF(_xlfn.XLOOKUP(C391,customers!$A$1:$A$1001,customers!$C$1:$C$1001,0)=0,"",_xlfn.XLOOKUP(C391,customers!$A$1:$A$1001,customers!$C$1:$C$1001))</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6">
        <f>INDEX(products!$A$1:$G$49,MATCH(orders!$D391,products!$A$1:$A$49,0),MATCH(orders!L$1,products!$A$1:$G$1,0))</f>
        <v>7.77</v>
      </c>
      <c r="M391" s="6">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cm="1">
        <f t="array" ref="F392">_xlfn.XLOOKUP(C392,customers!A$1:$A$1001,customers!$B$1:$B$1001,0)</f>
        <v>Sloan Diviny</v>
      </c>
      <c r="G392" s="2" t="str">
        <f>IF(_xlfn.XLOOKUP(C392,customers!$A$1:$A$1001,customers!$C$1:$C$1001,0)=0,"",_xlfn.XLOOKUP(C392,customers!$A$1:$A$1001,customers!$C$1:$C$1001))</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6">
        <f>INDEX(products!$A$1:$G$49,MATCH(orders!$D392,products!$A$1:$A$49,0),MATCH(orders!L$1,products!$A$1:$G$1,0))</f>
        <v>7.29</v>
      </c>
      <c r="M392" s="6">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cm="1">
        <f t="array" ref="F393">_xlfn.XLOOKUP(C393,customers!A$1:$A$1001,customers!$B$1:$B$1001,0)</f>
        <v>Itch Norquoy</v>
      </c>
      <c r="G393" s="2" t="str">
        <f>IF(_xlfn.XLOOKUP(C393,customers!$A$1:$A$1001,customers!$C$1:$C$1001,0)=0,"",_xlfn.XLOOKUP(C393,customers!$A$1:$A$1001,customers!$C$1:$C$1001))</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6">
        <f>INDEX(products!$A$1:$G$49,MATCH(orders!$D393,products!$A$1:$A$49,0),MATCH(orders!L$1,products!$A$1:$G$1,0))</f>
        <v>6.75</v>
      </c>
      <c r="M393" s="6">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cm="1">
        <f t="array" ref="F394">_xlfn.XLOOKUP(C394,customers!A$1:$A$1001,customers!$B$1:$B$1001,0)</f>
        <v>Anson Iddison</v>
      </c>
      <c r="G394" s="2" t="str">
        <f>IF(_xlfn.XLOOKUP(C394,customers!$A$1:$A$1001,customers!$C$1:$C$1001,0)=0,"",_xlfn.XLOOKUP(C394,customers!$A$1:$A$1001,customers!$C$1:$C$1001))</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6">
        <f>INDEX(products!$A$1:$G$49,MATCH(orders!$D394,products!$A$1:$A$49,0),MATCH(orders!L$1,products!$A$1:$G$1,0))</f>
        <v>14.85</v>
      </c>
      <c r="M394" s="6">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cm="1">
        <f t="array" ref="F395">_xlfn.XLOOKUP(C395,customers!A$1:$A$1001,customers!$B$1:$B$1001,0)</f>
        <v>Anson Iddison</v>
      </c>
      <c r="G395" s="2" t="str">
        <f>IF(_xlfn.XLOOKUP(C395,customers!$A$1:$A$1001,customers!$C$1:$C$1001,0)=0,"",_xlfn.XLOOKUP(C395,customers!$A$1:$A$1001,customers!$C$1:$C$1001))</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6">
        <f>INDEX(products!$A$1:$G$49,MATCH(orders!$D395,products!$A$1:$A$49,0),MATCH(orders!L$1,products!$A$1:$G$1,0))</f>
        <v>3.8849999999999998</v>
      </c>
      <c r="M395" s="6">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cm="1">
        <f t="array" ref="F396">_xlfn.XLOOKUP(C396,customers!A$1:$A$1001,customers!$B$1:$B$1001,0)</f>
        <v>Randal Longfield</v>
      </c>
      <c r="G396" s="2" t="str">
        <f>IF(_xlfn.XLOOKUP(C396,customers!$A$1:$A$1001,customers!$C$1:$C$1001,0)=0,"",_xlfn.XLOOKUP(C396,customers!$A$1:$A$1001,customers!$C$1:$C$1001))</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6">
        <f>INDEX(products!$A$1:$G$49,MATCH(orders!$D396,products!$A$1:$A$49,0),MATCH(orders!L$1,products!$A$1:$G$1,0))</f>
        <v>27.484999999999996</v>
      </c>
      <c r="M396" s="6">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cm="1">
        <f t="array" ref="F397">_xlfn.XLOOKUP(C397,customers!A$1:$A$1001,customers!$B$1:$B$1001,0)</f>
        <v>Gregorius Kislingbury</v>
      </c>
      <c r="G397" s="2" t="str">
        <f>IF(_xlfn.XLOOKUP(C397,customers!$A$1:$A$1001,customers!$C$1:$C$1001,0)=0,"",_xlfn.XLOOKUP(C397,customers!$A$1:$A$1001,customers!$C$1:$C$1001))</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6">
        <f>INDEX(products!$A$1:$G$49,MATCH(orders!$D397,products!$A$1:$A$49,0),MATCH(orders!L$1,products!$A$1:$G$1,0))</f>
        <v>7.77</v>
      </c>
      <c r="M397" s="6">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cm="1">
        <f t="array" ref="F398">_xlfn.XLOOKUP(C398,customers!A$1:$A$1001,customers!$B$1:$B$1001,0)</f>
        <v>Xenos Gibbons</v>
      </c>
      <c r="G398" s="2" t="str">
        <f>IF(_xlfn.XLOOKUP(C398,customers!$A$1:$A$1001,customers!$C$1:$C$1001,0)=0,"",_xlfn.XLOOKUP(C398,customers!$A$1:$A$1001,customers!$C$1:$C$1001))</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6">
        <f>INDEX(products!$A$1:$G$49,MATCH(orders!$D398,products!$A$1:$A$49,0),MATCH(orders!L$1,products!$A$1:$G$1,0))</f>
        <v>7.77</v>
      </c>
      <c r="M398" s="6">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cm="1">
        <f t="array" ref="F399">_xlfn.XLOOKUP(C399,customers!A$1:$A$1001,customers!$B$1:$B$1001,0)</f>
        <v>Fleur Parres</v>
      </c>
      <c r="G399" s="2" t="str">
        <f>IF(_xlfn.XLOOKUP(C399,customers!$A$1:$A$1001,customers!$C$1:$C$1001,0)=0,"",_xlfn.XLOOKUP(C399,customers!$A$1:$A$1001,customers!$C$1:$C$1001))</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6">
        <f>INDEX(products!$A$1:$G$49,MATCH(orders!$D399,products!$A$1:$A$49,0),MATCH(orders!L$1,products!$A$1:$G$1,0))</f>
        <v>7.77</v>
      </c>
      <c r="M399" s="6">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cm="1">
        <f t="array" ref="F400">_xlfn.XLOOKUP(C400,customers!A$1:$A$1001,customers!$B$1:$B$1001,0)</f>
        <v>Gran Sibray</v>
      </c>
      <c r="G400" s="2" t="str">
        <f>IF(_xlfn.XLOOKUP(C400,customers!$A$1:$A$1001,customers!$C$1:$C$1001,0)=0,"",_xlfn.XLOOKUP(C400,customers!$A$1:$A$1001,customers!$C$1:$C$1001))</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6">
        <f>INDEX(products!$A$1:$G$49,MATCH(orders!$D400,products!$A$1:$A$49,0),MATCH(orders!L$1,products!$A$1:$G$1,0))</f>
        <v>2.9849999999999999</v>
      </c>
      <c r="M400" s="6">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cm="1">
        <f t="array" ref="F401">_xlfn.XLOOKUP(C401,customers!A$1:$A$1001,customers!$B$1:$B$1001,0)</f>
        <v>Ingelbert Hotchkin</v>
      </c>
      <c r="G401" s="2" t="str">
        <f>IF(_xlfn.XLOOKUP(C401,customers!$A$1:$A$1001,customers!$C$1:$C$1001,0)=0,"",_xlfn.XLOOKUP(C401,customers!$A$1:$A$1001,customers!$C$1:$C$1001))</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6">
        <f>INDEX(products!$A$1:$G$49,MATCH(orders!$D401,products!$A$1:$A$49,0),MATCH(orders!L$1,products!$A$1:$G$1,0))</f>
        <v>27.945</v>
      </c>
      <c r="M401" s="6">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cm="1">
        <f t="array" ref="F402">_xlfn.XLOOKUP(C402,customers!A$1:$A$1001,customers!$B$1:$B$1001,0)</f>
        <v>Neely Broadberrie</v>
      </c>
      <c r="G402" s="2" t="str">
        <f>IF(_xlfn.XLOOKUP(C402,customers!$A$1:$A$1001,customers!$C$1:$C$1001,0)=0,"",_xlfn.XLOOKUP(C402,customers!$A$1:$A$1001,customers!$C$1:$C$1001))</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6">
        <f>INDEX(products!$A$1:$G$49,MATCH(orders!$D402,products!$A$1:$A$49,0),MATCH(orders!L$1,products!$A$1:$G$1,0))</f>
        <v>15.85</v>
      </c>
      <c r="M402" s="6">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cm="1">
        <f t="array" ref="F403">_xlfn.XLOOKUP(C403,customers!A$1:$A$1001,customers!$B$1:$B$1001,0)</f>
        <v>Rutger Pithcock</v>
      </c>
      <c r="G403" s="2" t="str">
        <f>IF(_xlfn.XLOOKUP(C403,customers!$A$1:$A$1001,customers!$C$1:$C$1001,0)=0,"",_xlfn.XLOOKUP(C403,customers!$A$1:$A$1001,customers!$C$1:$C$1001))</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6">
        <f>INDEX(products!$A$1:$G$49,MATCH(orders!$D403,products!$A$1:$A$49,0),MATCH(orders!L$1,products!$A$1:$G$1,0))</f>
        <v>4.3650000000000002</v>
      </c>
      <c r="M403" s="6">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cm="1">
        <f t="array" ref="F404">_xlfn.XLOOKUP(C404,customers!A$1:$A$1001,customers!$B$1:$B$1001,0)</f>
        <v>Gale Croysdale</v>
      </c>
      <c r="G404" s="2" t="str">
        <f>IF(_xlfn.XLOOKUP(C404,customers!$A$1:$A$1001,customers!$C$1:$C$1001,0)=0,"",_xlfn.XLOOKUP(C404,customers!$A$1:$A$1001,customers!$C$1:$C$1001))</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6">
        <f>INDEX(products!$A$1:$G$49,MATCH(orders!$D404,products!$A$1:$A$49,0),MATCH(orders!L$1,products!$A$1:$G$1,0))</f>
        <v>8.9499999999999993</v>
      </c>
      <c r="M404" s="6">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cm="1">
        <f t="array" ref="F405">_xlfn.XLOOKUP(C405,customers!A$1:$A$1001,customers!$B$1:$B$1001,0)</f>
        <v>Benedetto Gozzett</v>
      </c>
      <c r="G405" s="2" t="str">
        <f>IF(_xlfn.XLOOKUP(C405,customers!$A$1:$A$1001,customers!$C$1:$C$1001,0)=0,"",_xlfn.XLOOKUP(C405,customers!$A$1:$A$1001,customers!$C$1:$C$1001))</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6">
        <f>INDEX(products!$A$1:$G$49,MATCH(orders!$D405,products!$A$1:$A$49,0),MATCH(orders!L$1,products!$A$1:$G$1,0))</f>
        <v>4.7549999999999999</v>
      </c>
      <c r="M405" s="6">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cm="1">
        <f t="array" ref="F406">_xlfn.XLOOKUP(C406,customers!A$1:$A$1001,customers!$B$1:$B$1001,0)</f>
        <v>Tania Craggs</v>
      </c>
      <c r="G406" s="2" t="str">
        <f>IF(_xlfn.XLOOKUP(C406,customers!$A$1:$A$1001,customers!$C$1:$C$1001,0)=0,"",_xlfn.XLOOKUP(C406,customers!$A$1:$A$1001,customers!$C$1:$C$1001))</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6">
        <f>INDEX(products!$A$1:$G$49,MATCH(orders!$D406,products!$A$1:$A$49,0),MATCH(orders!L$1,products!$A$1:$G$1,0))</f>
        <v>9.9499999999999993</v>
      </c>
      <c r="M406" s="6">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cm="1">
        <f t="array" ref="F407">_xlfn.XLOOKUP(C407,customers!A$1:$A$1001,customers!$B$1:$B$1001,0)</f>
        <v>Leonie Cullrford</v>
      </c>
      <c r="G407" s="2" t="str">
        <f>IF(_xlfn.XLOOKUP(C407,customers!$A$1:$A$1001,customers!$C$1:$C$1001,0)=0,"",_xlfn.XLOOKUP(C407,customers!$A$1:$A$1001,customers!$C$1:$C$1001))</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6">
        <f>INDEX(products!$A$1:$G$49,MATCH(orders!$D407,products!$A$1:$A$49,0),MATCH(orders!L$1,products!$A$1:$G$1,0))</f>
        <v>8.25</v>
      </c>
      <c r="M407" s="6">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cm="1">
        <f t="array" ref="F408">_xlfn.XLOOKUP(C408,customers!A$1:$A$1001,customers!$B$1:$B$1001,0)</f>
        <v>Auguste Rizon</v>
      </c>
      <c r="G408" s="2" t="str">
        <f>IF(_xlfn.XLOOKUP(C408,customers!$A$1:$A$1001,customers!$C$1:$C$1001,0)=0,"",_xlfn.XLOOKUP(C408,customers!$A$1:$A$1001,customers!$C$1:$C$1001))</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6">
        <f>INDEX(products!$A$1:$G$49,MATCH(orders!$D408,products!$A$1:$A$49,0),MATCH(orders!L$1,products!$A$1:$G$1,0))</f>
        <v>13.75</v>
      </c>
      <c r="M408" s="6">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cm="1">
        <f t="array" ref="F409">_xlfn.XLOOKUP(C409,customers!A$1:$A$1001,customers!$B$1:$B$1001,0)</f>
        <v>Lorin Guerrazzi</v>
      </c>
      <c r="G409" s="2" t="str">
        <f>IF(_xlfn.XLOOKUP(C409,customers!$A$1:$A$1001,customers!$C$1:$C$1001,0)=0,"",_xlfn.XLOOKUP(C409,customers!$A$1:$A$1001,customers!$C$1:$C$1001))</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6">
        <f>INDEX(products!$A$1:$G$49,MATCH(orders!$D409,products!$A$1:$A$49,0),MATCH(orders!L$1,products!$A$1:$G$1,0))</f>
        <v>8.25</v>
      </c>
      <c r="M409" s="6">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cm="1">
        <f t="array" ref="F410">_xlfn.XLOOKUP(C410,customers!A$1:$A$1001,customers!$B$1:$B$1001,0)</f>
        <v>Felice Miell</v>
      </c>
      <c r="G410" s="2" t="str">
        <f>IF(_xlfn.XLOOKUP(C410,customers!$A$1:$A$1001,customers!$C$1:$C$1001,0)=0,"",_xlfn.XLOOKUP(C410,customers!$A$1:$A$1001,customers!$C$1:$C$1001))</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6">
        <f>INDEX(products!$A$1:$G$49,MATCH(orders!$D410,products!$A$1:$A$49,0),MATCH(orders!L$1,products!$A$1:$G$1,0))</f>
        <v>25.874999999999996</v>
      </c>
      <c r="M410" s="6">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cm="1">
        <f t="array" ref="F411">_xlfn.XLOOKUP(C411,customers!A$1:$A$1001,customers!$B$1:$B$1001,0)</f>
        <v>Hamish Skeech</v>
      </c>
      <c r="G411" s="2" t="str">
        <f>IF(_xlfn.XLOOKUP(C411,customers!$A$1:$A$1001,customers!$C$1:$C$1001,0)=0,"",_xlfn.XLOOKUP(C411,customers!$A$1:$A$1001,customers!$C$1:$C$1001))</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6">
        <f>INDEX(products!$A$1:$G$49,MATCH(orders!$D411,products!$A$1:$A$49,0),MATCH(orders!L$1,products!$A$1:$G$1,0))</f>
        <v>15.85</v>
      </c>
      <c r="M411" s="6">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cm="1">
        <f t="array" ref="F412">_xlfn.XLOOKUP(C412,customers!A$1:$A$1001,customers!$B$1:$B$1001,0)</f>
        <v>Giordano Lorenzin</v>
      </c>
      <c r="G412" s="2" t="str">
        <f>IF(_xlfn.XLOOKUP(C412,customers!$A$1:$A$1001,customers!$C$1:$C$1001,0)=0,"",_xlfn.XLOOKUP(C412,customers!$A$1:$A$1001,customers!$C$1:$C$1001))</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6">
        <f>INDEX(products!$A$1:$G$49,MATCH(orders!$D412,products!$A$1:$A$49,0),MATCH(orders!L$1,products!$A$1:$G$1,0))</f>
        <v>3.8849999999999998</v>
      </c>
      <c r="M412" s="6">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cm="1">
        <f t="array" ref="F413">_xlfn.XLOOKUP(C413,customers!A$1:$A$1001,customers!$B$1:$B$1001,0)</f>
        <v>Harwilll Bishell</v>
      </c>
      <c r="G413" s="2" t="str">
        <f>IF(_xlfn.XLOOKUP(C413,customers!$A$1:$A$1001,customers!$C$1:$C$1001,0)=0,"",_xlfn.XLOOKUP(C413,customers!$A$1:$A$1001,customers!$C$1:$C$1001))</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6">
        <f>INDEX(products!$A$1:$G$49,MATCH(orders!$D413,products!$A$1:$A$49,0),MATCH(orders!L$1,products!$A$1:$G$1,0))</f>
        <v>14.55</v>
      </c>
      <c r="M413" s="6">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cm="1">
        <f t="array" ref="F414">_xlfn.XLOOKUP(C414,customers!A$1:$A$1001,customers!$B$1:$B$1001,0)</f>
        <v>Freeland Missenden</v>
      </c>
      <c r="G414" s="2" t="str">
        <f>IF(_xlfn.XLOOKUP(C414,customers!$A$1:$A$1001,customers!$C$1:$C$1001,0)=0,"",_xlfn.XLOOKUP(C414,customers!$A$1:$A$1001,customers!$C$1:$C$1001))</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6">
        <f>INDEX(products!$A$1:$G$49,MATCH(orders!$D414,products!$A$1:$A$49,0),MATCH(orders!L$1,products!$A$1:$G$1,0))</f>
        <v>11.25</v>
      </c>
      <c r="M414" s="6">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cm="1">
        <f t="array" ref="F415">_xlfn.XLOOKUP(C415,customers!A$1:$A$1001,customers!$B$1:$B$1001,0)</f>
        <v>Waylan Springall</v>
      </c>
      <c r="G415" s="2" t="str">
        <f>IF(_xlfn.XLOOKUP(C415,customers!$A$1:$A$1001,customers!$C$1:$C$1001,0)=0,"",_xlfn.XLOOKUP(C415,customers!$A$1:$A$1001,customers!$C$1:$C$1001))</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6">
        <f>INDEX(products!$A$1:$G$49,MATCH(orders!$D415,products!$A$1:$A$49,0),MATCH(orders!L$1,products!$A$1:$G$1,0))</f>
        <v>36.454999999999998</v>
      </c>
      <c r="M415" s="6">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cm="1">
        <f t="array" ref="F416">_xlfn.XLOOKUP(C416,customers!A$1:$A$1001,customers!$B$1:$B$1001,0)</f>
        <v>Kiri Avramow</v>
      </c>
      <c r="G416" s="2" t="str">
        <f>IF(_xlfn.XLOOKUP(C416,customers!$A$1:$A$1001,customers!$C$1:$C$1001,0)=0,"",_xlfn.XLOOKUP(C416,customers!$A$1:$A$1001,customers!$C$1:$C$1001))</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6">
        <f>INDEX(products!$A$1:$G$49,MATCH(orders!$D416,products!$A$1:$A$49,0),MATCH(orders!L$1,products!$A$1:$G$1,0))</f>
        <v>3.5849999999999995</v>
      </c>
      <c r="M416" s="6">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cm="1">
        <f t="array" ref="F417">_xlfn.XLOOKUP(C417,customers!A$1:$A$1001,customers!$B$1:$B$1001,0)</f>
        <v>Gregg Hawkyens</v>
      </c>
      <c r="G417" s="2" t="str">
        <f>IF(_xlfn.XLOOKUP(C417,customers!$A$1:$A$1001,customers!$C$1:$C$1001,0)=0,"",_xlfn.XLOOKUP(C417,customers!$A$1:$A$1001,customers!$C$1:$C$1001))</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6">
        <f>INDEX(products!$A$1:$G$49,MATCH(orders!$D417,products!$A$1:$A$49,0),MATCH(orders!L$1,products!$A$1:$G$1,0))</f>
        <v>2.9849999999999999</v>
      </c>
      <c r="M417" s="6">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cm="1">
        <f t="array" ref="F418">_xlfn.XLOOKUP(C418,customers!A$1:$A$1001,customers!$B$1:$B$1001,0)</f>
        <v>Reggis Pracy</v>
      </c>
      <c r="G418" s="2" t="str">
        <f>IF(_xlfn.XLOOKUP(C418,customers!$A$1:$A$1001,customers!$C$1:$C$1001,0)=0,"",_xlfn.XLOOKUP(C418,customers!$A$1:$A$1001,customers!$C$1:$C$1001))</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6">
        <f>INDEX(products!$A$1:$G$49,MATCH(orders!$D418,products!$A$1:$A$49,0),MATCH(orders!L$1,products!$A$1:$G$1,0))</f>
        <v>7.77</v>
      </c>
      <c r="M418" s="6">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cm="1">
        <f t="array" ref="F419">_xlfn.XLOOKUP(C419,customers!A$1:$A$1001,customers!$B$1:$B$1001,0)</f>
        <v>Paula Denis</v>
      </c>
      <c r="G419" s="2" t="str">
        <f>IF(_xlfn.XLOOKUP(C419,customers!$A$1:$A$1001,customers!$C$1:$C$1001,0)=0,"",_xlfn.XLOOKUP(C419,customers!$A$1:$A$1001,customers!$C$1:$C$1001))</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6">
        <f>INDEX(products!$A$1:$G$49,MATCH(orders!$D419,products!$A$1:$A$49,0),MATCH(orders!L$1,products!$A$1:$G$1,0))</f>
        <v>29.784999999999997</v>
      </c>
      <c r="M419" s="6">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cm="1">
        <f t="array" ref="F420">_xlfn.XLOOKUP(C420,customers!A$1:$A$1001,customers!$B$1:$B$1001,0)</f>
        <v>Broderick McGilvra</v>
      </c>
      <c r="G420" s="2" t="str">
        <f>IF(_xlfn.XLOOKUP(C420,customers!$A$1:$A$1001,customers!$C$1:$C$1001,0)=0,"",_xlfn.XLOOKUP(C420,customers!$A$1:$A$1001,customers!$C$1:$C$1001))</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6">
        <f>INDEX(products!$A$1:$G$49,MATCH(orders!$D420,products!$A$1:$A$49,0),MATCH(orders!L$1,products!$A$1:$G$1,0))</f>
        <v>29.784999999999997</v>
      </c>
      <c r="M420" s="6">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cm="1">
        <f t="array" ref="F421">_xlfn.XLOOKUP(C421,customers!A$1:$A$1001,customers!$B$1:$B$1001,0)</f>
        <v>Annabella Danzey</v>
      </c>
      <c r="G421" s="2" t="str">
        <f>IF(_xlfn.XLOOKUP(C421,customers!$A$1:$A$1001,customers!$C$1:$C$1001,0)=0,"",_xlfn.XLOOKUP(C421,customers!$A$1:$A$1001,customers!$C$1:$C$1001))</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6">
        <f>INDEX(products!$A$1:$G$49,MATCH(orders!$D421,products!$A$1:$A$49,0),MATCH(orders!L$1,products!$A$1:$G$1,0))</f>
        <v>8.73</v>
      </c>
      <c r="M421" s="6">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cm="1">
        <f t="array" ref="F422">_xlfn.XLOOKUP(C422,customers!A$1:$A$1001,customers!$B$1:$B$1001,0)</f>
        <v>Terri Farra</v>
      </c>
      <c r="G422" s="2" t="str">
        <f>IF(_xlfn.XLOOKUP(C422,customers!$A$1:$A$1001,customers!$C$1:$C$1001,0)=0,"",_xlfn.XLOOKUP(C422,customers!$A$1:$A$1001,customers!$C$1:$C$1001))</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6">
        <f>INDEX(products!$A$1:$G$49,MATCH(orders!$D422,products!$A$1:$A$49,0),MATCH(orders!L$1,products!$A$1:$G$1,0))</f>
        <v>7.77</v>
      </c>
      <c r="M422" s="6">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cm="1">
        <f t="array" ref="F423">_xlfn.XLOOKUP(C423,customers!A$1:$A$1001,customers!$B$1:$B$1001,0)</f>
        <v>Terri Farra</v>
      </c>
      <c r="G423" s="2" t="str">
        <f>IF(_xlfn.XLOOKUP(C423,customers!$A$1:$A$1001,customers!$C$1:$C$1001,0)=0,"",_xlfn.XLOOKUP(C423,customers!$A$1:$A$1001,customers!$C$1:$C$1001))</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6">
        <f>INDEX(products!$A$1:$G$49,MATCH(orders!$D423,products!$A$1:$A$49,0),MATCH(orders!L$1,products!$A$1:$G$1,0))</f>
        <v>22.884999999999998</v>
      </c>
      <c r="M423" s="6">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cm="1">
        <f t="array" ref="F424">_xlfn.XLOOKUP(C424,customers!A$1:$A$1001,customers!$B$1:$B$1001,0)</f>
        <v>Nevins Glowacz</v>
      </c>
      <c r="G424" s="2" t="str">
        <f>IF(_xlfn.XLOOKUP(C424,customers!$A$1:$A$1001,customers!$C$1:$C$1001,0)=0,"",_xlfn.XLOOKUP(C424,customers!$A$1:$A$1001,customers!$C$1:$C$1001))</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6">
        <f>INDEX(products!$A$1:$G$49,MATCH(orders!$D424,products!$A$1:$A$49,0),MATCH(orders!L$1,products!$A$1:$G$1,0))</f>
        <v>5.97</v>
      </c>
      <c r="M424" s="6">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cm="1">
        <f t="array" ref="F425">_xlfn.XLOOKUP(C425,customers!A$1:$A$1001,customers!$B$1:$B$1001,0)</f>
        <v>Adelice Isabell</v>
      </c>
      <c r="G425" s="2" t="str">
        <f>IF(_xlfn.XLOOKUP(C425,customers!$A$1:$A$1001,customers!$C$1:$C$1001,0)=0,"",_xlfn.XLOOKUP(C425,customers!$A$1:$A$1001,customers!$C$1:$C$1001))</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6">
        <f>INDEX(products!$A$1:$G$49,MATCH(orders!$D425,products!$A$1:$A$49,0),MATCH(orders!L$1,products!$A$1:$G$1,0))</f>
        <v>5.97</v>
      </c>
      <c r="M425" s="6">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cm="1">
        <f t="array" ref="F426">_xlfn.XLOOKUP(C426,customers!A$1:$A$1001,customers!$B$1:$B$1001,0)</f>
        <v>Yulma Dombrell</v>
      </c>
      <c r="G426" s="2" t="str">
        <f>IF(_xlfn.XLOOKUP(C426,customers!$A$1:$A$1001,customers!$C$1:$C$1001,0)=0,"",_xlfn.XLOOKUP(C426,customers!$A$1:$A$1001,customers!$C$1:$C$1001))</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6">
        <f>INDEX(products!$A$1:$G$49,MATCH(orders!$D426,products!$A$1:$A$49,0),MATCH(orders!L$1,products!$A$1:$G$1,0))</f>
        <v>8.91</v>
      </c>
      <c r="M426" s="6">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cm="1">
        <f t="array" ref="F427">_xlfn.XLOOKUP(C427,customers!A$1:$A$1001,customers!$B$1:$B$1001,0)</f>
        <v>Alric Darth</v>
      </c>
      <c r="G427" s="2" t="str">
        <f>IF(_xlfn.XLOOKUP(C427,customers!$A$1:$A$1001,customers!$C$1:$C$1001,0)=0,"",_xlfn.XLOOKUP(C427,customers!$A$1:$A$1001,customers!$C$1:$C$1001))</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6">
        <f>INDEX(products!$A$1:$G$49,MATCH(orders!$D427,products!$A$1:$A$49,0),MATCH(orders!L$1,products!$A$1:$G$1,0))</f>
        <v>8.9499999999999993</v>
      </c>
      <c r="M427" s="6">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cm="1">
        <f t="array" ref="F428">_xlfn.XLOOKUP(C428,customers!A$1:$A$1001,customers!$B$1:$B$1001,0)</f>
        <v>Manuel Darrigoe</v>
      </c>
      <c r="G428" s="2" t="str">
        <f>IF(_xlfn.XLOOKUP(C428,customers!$A$1:$A$1001,customers!$C$1:$C$1001,0)=0,"",_xlfn.XLOOKUP(C428,customers!$A$1:$A$1001,customers!$C$1:$C$1001))</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6">
        <f>INDEX(products!$A$1:$G$49,MATCH(orders!$D428,products!$A$1:$A$49,0),MATCH(orders!L$1,products!$A$1:$G$1,0))</f>
        <v>3.5849999999999995</v>
      </c>
      <c r="M428" s="6">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cm="1">
        <f t="array" ref="F429">_xlfn.XLOOKUP(C429,customers!A$1:$A$1001,customers!$B$1:$B$1001,0)</f>
        <v>Kynthia Berick</v>
      </c>
      <c r="G429" s="2" t="str">
        <f>IF(_xlfn.XLOOKUP(C429,customers!$A$1:$A$1001,customers!$C$1:$C$1001,0)=0,"",_xlfn.XLOOKUP(C429,customers!$A$1:$A$1001,customers!$C$1:$C$1001))</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6">
        <f>INDEX(products!$A$1:$G$49,MATCH(orders!$D429,products!$A$1:$A$49,0),MATCH(orders!L$1,products!$A$1:$G$1,0))</f>
        <v>25.874999999999996</v>
      </c>
      <c r="M429" s="6">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cm="1">
        <f t="array" ref="F430">_xlfn.XLOOKUP(C430,customers!A$1:$A$1001,customers!$B$1:$B$1001,0)</f>
        <v>Minetta Ackrill</v>
      </c>
      <c r="G430" s="2" t="str">
        <f>IF(_xlfn.XLOOKUP(C430,customers!$A$1:$A$1001,customers!$C$1:$C$1001,0)=0,"",_xlfn.XLOOKUP(C430,customers!$A$1:$A$1001,customers!$C$1:$C$1001))</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6">
        <f>INDEX(products!$A$1:$G$49,MATCH(orders!$D430,products!$A$1:$A$49,0),MATCH(orders!L$1,products!$A$1:$G$1,0))</f>
        <v>11.95</v>
      </c>
      <c r="M430" s="6">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cm="1">
        <f t="array" ref="F431">_xlfn.XLOOKUP(C431,customers!A$1:$A$1001,customers!$B$1:$B$1001,0)</f>
        <v>Terri Farra</v>
      </c>
      <c r="G431" s="2" t="str">
        <f>IF(_xlfn.XLOOKUP(C431,customers!$A$1:$A$1001,customers!$C$1:$C$1001,0)=0,"",_xlfn.XLOOKUP(C431,customers!$A$1:$A$1001,customers!$C$1:$C$1001))</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6">
        <f>INDEX(products!$A$1:$G$49,MATCH(orders!$D431,products!$A$1:$A$49,0),MATCH(orders!L$1,products!$A$1:$G$1,0))</f>
        <v>12.95</v>
      </c>
      <c r="M431" s="6">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cm="1">
        <f t="array" ref="F432">_xlfn.XLOOKUP(C432,customers!A$1:$A$1001,customers!$B$1:$B$1001,0)</f>
        <v>Melosa Kippen</v>
      </c>
      <c r="G432" s="2" t="str">
        <f>IF(_xlfn.XLOOKUP(C432,customers!$A$1:$A$1001,customers!$C$1:$C$1001,0)=0,"",_xlfn.XLOOKUP(C432,customers!$A$1:$A$1001,customers!$C$1:$C$1001))</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6">
        <f>INDEX(products!$A$1:$G$49,MATCH(orders!$D432,products!$A$1:$A$49,0),MATCH(orders!L$1,products!$A$1:$G$1,0))</f>
        <v>2.6849999999999996</v>
      </c>
      <c r="M432" s="6">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cm="1">
        <f t="array" ref="F433">_xlfn.XLOOKUP(C433,customers!A$1:$A$1001,customers!$B$1:$B$1001,0)</f>
        <v>Witty Ranson</v>
      </c>
      <c r="G433" s="2" t="str">
        <f>IF(_xlfn.XLOOKUP(C433,customers!$A$1:$A$1001,customers!$C$1:$C$1001,0)=0,"",_xlfn.XLOOKUP(C433,customers!$A$1:$A$1001,customers!$C$1:$C$1001))</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6">
        <f>INDEX(products!$A$1:$G$49,MATCH(orders!$D433,products!$A$1:$A$49,0),MATCH(orders!L$1,products!$A$1:$G$1,0))</f>
        <v>27.945</v>
      </c>
      <c r="M433" s="6">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cm="1">
        <f t="array" ref="F434">_xlfn.XLOOKUP(C434,customers!A$1:$A$1001,customers!$B$1:$B$1001,0)</f>
        <v>Rod Gowdie</v>
      </c>
      <c r="G434" s="2" t="str">
        <f>IF(_xlfn.XLOOKUP(C434,customers!$A$1:$A$1001,customers!$C$1:$C$1001,0)=0,"",_xlfn.XLOOKUP(C434,customers!$A$1:$A$1001,customers!$C$1:$C$1001))</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6">
        <f>INDEX(products!$A$1:$G$49,MATCH(orders!$D434,products!$A$1:$A$49,0),MATCH(orders!L$1,products!$A$1:$G$1,0))</f>
        <v>11.25</v>
      </c>
      <c r="M434" s="6">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cm="1">
        <f t="array" ref="F435">_xlfn.XLOOKUP(C435,customers!A$1:$A$1001,customers!$B$1:$B$1001,0)</f>
        <v>Lemuel Rignold</v>
      </c>
      <c r="G435" s="2" t="str">
        <f>IF(_xlfn.XLOOKUP(C435,customers!$A$1:$A$1001,customers!$C$1:$C$1001,0)=0,"",_xlfn.XLOOKUP(C435,customers!$A$1:$A$1001,customers!$C$1:$C$1001))</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6">
        <f>INDEX(products!$A$1:$G$49,MATCH(orders!$D435,products!$A$1:$A$49,0),MATCH(orders!L$1,products!$A$1:$G$1,0))</f>
        <v>33.464999999999996</v>
      </c>
      <c r="M435" s="6">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cm="1">
        <f t="array" ref="F436">_xlfn.XLOOKUP(C436,customers!A$1:$A$1001,customers!$B$1:$B$1001,0)</f>
        <v>Nevsa Fields</v>
      </c>
      <c r="G436" s="2" t="str">
        <f>IF(_xlfn.XLOOKUP(C436,customers!$A$1:$A$1001,customers!$C$1:$C$1001,0)=0,"",_xlfn.XLOOKUP(C436,customers!$A$1:$A$1001,customers!$C$1:$C$1001))</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6">
        <f>INDEX(products!$A$1:$G$49,MATCH(orders!$D436,products!$A$1:$A$49,0),MATCH(orders!L$1,products!$A$1:$G$1,0))</f>
        <v>11.25</v>
      </c>
      <c r="M436" s="6">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cm="1">
        <f t="array" ref="F437">_xlfn.XLOOKUP(C437,customers!A$1:$A$1001,customers!$B$1:$B$1001,0)</f>
        <v>Chance Rowthorn</v>
      </c>
      <c r="G437" s="2" t="str">
        <f>IF(_xlfn.XLOOKUP(C437,customers!$A$1:$A$1001,customers!$C$1:$C$1001,0)=0,"",_xlfn.XLOOKUP(C437,customers!$A$1:$A$1001,customers!$C$1:$C$1001))</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6">
        <f>INDEX(products!$A$1:$G$49,MATCH(orders!$D437,products!$A$1:$A$49,0),MATCH(orders!L$1,products!$A$1:$G$1,0))</f>
        <v>8.25</v>
      </c>
      <c r="M437" s="6">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cm="1">
        <f t="array" ref="F438">_xlfn.XLOOKUP(C438,customers!A$1:$A$1001,customers!$B$1:$B$1001,0)</f>
        <v>Orly Ryland</v>
      </c>
      <c r="G438" s="2" t="str">
        <f>IF(_xlfn.XLOOKUP(C438,customers!$A$1:$A$1001,customers!$C$1:$C$1001,0)=0,"",_xlfn.XLOOKUP(C438,customers!$A$1:$A$1001,customers!$C$1:$C$1001))</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6">
        <f>INDEX(products!$A$1:$G$49,MATCH(orders!$D438,products!$A$1:$A$49,0),MATCH(orders!L$1,products!$A$1:$G$1,0))</f>
        <v>4.7549999999999999</v>
      </c>
      <c r="M438" s="6">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cm="1">
        <f t="array" ref="F439">_xlfn.XLOOKUP(C439,customers!A$1:$A$1001,customers!$B$1:$B$1001,0)</f>
        <v>Willabella Abramski</v>
      </c>
      <c r="G439" s="2" t="str">
        <f>IF(_xlfn.XLOOKUP(C439,customers!$A$1:$A$1001,customers!$C$1:$C$1001,0)=0,"",_xlfn.XLOOKUP(C439,customers!$A$1:$A$1001,customers!$C$1:$C$1001))</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6">
        <f>INDEX(products!$A$1:$G$49,MATCH(orders!$D439,products!$A$1:$A$49,0),MATCH(orders!L$1,products!$A$1:$G$1,0))</f>
        <v>29.784999999999997</v>
      </c>
      <c r="M439" s="6">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cm="1">
        <f t="array" ref="F440">_xlfn.XLOOKUP(C440,customers!A$1:$A$1001,customers!$B$1:$B$1001,0)</f>
        <v>Morgen Seson</v>
      </c>
      <c r="G440" s="2" t="str">
        <f>IF(_xlfn.XLOOKUP(C440,customers!$A$1:$A$1001,customers!$C$1:$C$1001,0)=0,"",_xlfn.XLOOKUP(C440,customers!$A$1:$A$1001,customers!$C$1:$C$1001))</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6">
        <f>INDEX(products!$A$1:$G$49,MATCH(orders!$D440,products!$A$1:$A$49,0),MATCH(orders!L$1,products!$A$1:$G$1,0))</f>
        <v>7.77</v>
      </c>
      <c r="M440" s="6">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cm="1">
        <f t="array" ref="F441">_xlfn.XLOOKUP(C441,customers!A$1:$A$1001,customers!$B$1:$B$1001,0)</f>
        <v>Chickie Ragless</v>
      </c>
      <c r="G441" s="2" t="str">
        <f>IF(_xlfn.XLOOKUP(C441,customers!$A$1:$A$1001,customers!$C$1:$C$1001,0)=0,"",_xlfn.XLOOKUP(C441,customers!$A$1:$A$1001,customers!$C$1:$C$1001))</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6">
        <f>INDEX(products!$A$1:$G$49,MATCH(orders!$D441,products!$A$1:$A$49,0),MATCH(orders!L$1,products!$A$1:$G$1,0))</f>
        <v>8.91</v>
      </c>
      <c r="M441" s="6">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cm="1">
        <f t="array" ref="F442">_xlfn.XLOOKUP(C442,customers!A$1:$A$1001,customers!$B$1:$B$1001,0)</f>
        <v>Freda Hollows</v>
      </c>
      <c r="G442" s="2" t="str">
        <f>IF(_xlfn.XLOOKUP(C442,customers!$A$1:$A$1001,customers!$C$1:$C$1001,0)=0,"",_xlfn.XLOOKUP(C442,customers!$A$1:$A$1001,customers!$C$1:$C$1001))</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6">
        <f>INDEX(products!$A$1:$G$49,MATCH(orders!$D442,products!$A$1:$A$49,0),MATCH(orders!L$1,products!$A$1:$G$1,0))</f>
        <v>25.874999999999996</v>
      </c>
      <c r="M442" s="6">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cm="1">
        <f t="array" ref="F443">_xlfn.XLOOKUP(C443,customers!A$1:$A$1001,customers!$B$1:$B$1001,0)</f>
        <v>Livy Lathleiff</v>
      </c>
      <c r="G443" s="2" t="str">
        <f>IF(_xlfn.XLOOKUP(C443,customers!$A$1:$A$1001,customers!$C$1:$C$1001,0)=0,"",_xlfn.XLOOKUP(C443,customers!$A$1:$A$1001,customers!$C$1:$C$1001))</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6">
        <f>INDEX(products!$A$1:$G$49,MATCH(orders!$D443,products!$A$1:$A$49,0),MATCH(orders!L$1,products!$A$1:$G$1,0))</f>
        <v>12.15</v>
      </c>
      <c r="M443" s="6">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cm="1">
        <f t="array" ref="F444">_xlfn.XLOOKUP(C444,customers!A$1:$A$1001,customers!$B$1:$B$1001,0)</f>
        <v>Koralle Heads</v>
      </c>
      <c r="G444" s="2" t="str">
        <f>IF(_xlfn.XLOOKUP(C444,customers!$A$1:$A$1001,customers!$C$1:$C$1001,0)=0,"",_xlfn.XLOOKUP(C444,customers!$A$1:$A$1001,customers!$C$1:$C$1001))</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6">
        <f>INDEX(products!$A$1:$G$49,MATCH(orders!$D444,products!$A$1:$A$49,0),MATCH(orders!L$1,products!$A$1:$G$1,0))</f>
        <v>7.169999999999999</v>
      </c>
      <c r="M444" s="6">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cm="1">
        <f t="array" ref="F445">_xlfn.XLOOKUP(C445,customers!A$1:$A$1001,customers!$B$1:$B$1001,0)</f>
        <v>Theo Bowne</v>
      </c>
      <c r="G445" s="2" t="str">
        <f>IF(_xlfn.XLOOKUP(C445,customers!$A$1:$A$1001,customers!$C$1:$C$1001,0)=0,"",_xlfn.XLOOKUP(C445,customers!$A$1:$A$1001,customers!$C$1:$C$1001))</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6">
        <f>INDEX(products!$A$1:$G$49,MATCH(orders!$D445,products!$A$1:$A$49,0),MATCH(orders!L$1,products!$A$1:$G$1,0))</f>
        <v>4.4550000000000001</v>
      </c>
      <c r="M445" s="6">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cm="1">
        <f t="array" ref="F446">_xlfn.XLOOKUP(C446,customers!A$1:$A$1001,customers!$B$1:$B$1001,0)</f>
        <v>Rasia Jacquemard</v>
      </c>
      <c r="G446" s="2" t="str">
        <f>IF(_xlfn.XLOOKUP(C446,customers!$A$1:$A$1001,customers!$C$1:$C$1001,0)=0,"",_xlfn.XLOOKUP(C446,customers!$A$1:$A$1001,customers!$C$1:$C$1001))</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6">
        <f>INDEX(products!$A$1:$G$49,MATCH(orders!$D446,products!$A$1:$A$49,0),MATCH(orders!L$1,products!$A$1:$G$1,0))</f>
        <v>4.125</v>
      </c>
      <c r="M446" s="6">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cm="1">
        <f t="array" ref="F447">_xlfn.XLOOKUP(C447,customers!A$1:$A$1001,customers!$B$1:$B$1001,0)</f>
        <v>Kizzie Warman</v>
      </c>
      <c r="G447" s="2" t="str">
        <f>IF(_xlfn.XLOOKUP(C447,customers!$A$1:$A$1001,customers!$C$1:$C$1001,0)=0,"",_xlfn.XLOOKUP(C447,customers!$A$1:$A$1001,customers!$C$1:$C$1001))</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6">
        <f>INDEX(products!$A$1:$G$49,MATCH(orders!$D447,products!$A$1:$A$49,0),MATCH(orders!L$1,products!$A$1:$G$1,0))</f>
        <v>33.464999999999996</v>
      </c>
      <c r="M447" s="6">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cm="1">
        <f t="array" ref="F448">_xlfn.XLOOKUP(C448,customers!A$1:$A$1001,customers!$B$1:$B$1001,0)</f>
        <v>Wain Cholomin</v>
      </c>
      <c r="G448" s="2" t="str">
        <f>IF(_xlfn.XLOOKUP(C448,customers!$A$1:$A$1001,customers!$C$1:$C$1001,0)=0,"",_xlfn.XLOOKUP(C448,customers!$A$1:$A$1001,customers!$C$1:$C$1001))</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6">
        <f>INDEX(products!$A$1:$G$49,MATCH(orders!$D448,products!$A$1:$A$49,0),MATCH(orders!L$1,products!$A$1:$G$1,0))</f>
        <v>8.73</v>
      </c>
      <c r="M448" s="6">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cm="1">
        <f t="array" ref="F449">_xlfn.XLOOKUP(C449,customers!A$1:$A$1001,customers!$B$1:$B$1001,0)</f>
        <v>Arleen Braidman</v>
      </c>
      <c r="G449" s="2" t="str">
        <f>IF(_xlfn.XLOOKUP(C449,customers!$A$1:$A$1001,customers!$C$1:$C$1001,0)=0,"",_xlfn.XLOOKUP(C449,customers!$A$1:$A$1001,customers!$C$1:$C$1001))</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6">
        <f>INDEX(products!$A$1:$G$49,MATCH(orders!$D449,products!$A$1:$A$49,0),MATCH(orders!L$1,products!$A$1:$G$1,0))</f>
        <v>5.97</v>
      </c>
      <c r="M449" s="6">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cm="1">
        <f t="array" ref="F450">_xlfn.XLOOKUP(C450,customers!A$1:$A$1001,customers!$B$1:$B$1001,0)</f>
        <v>Pru Durban</v>
      </c>
      <c r="G450" s="2" t="str">
        <f>IF(_xlfn.XLOOKUP(C450,customers!$A$1:$A$1001,customers!$C$1:$C$1001,0)=0,"",_xlfn.XLOOKUP(C450,customers!$A$1:$A$1001,customers!$C$1:$C$1001))</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6">
        <f>INDEX(products!$A$1:$G$49,MATCH(orders!$D450,products!$A$1:$A$49,0),MATCH(orders!L$1,products!$A$1:$G$1,0))</f>
        <v>7.169999999999999</v>
      </c>
      <c r="M450" s="6">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cm="1">
        <f t="array" ref="F451">_xlfn.XLOOKUP(C451,customers!A$1:$A$1001,customers!$B$1:$B$1001,0)</f>
        <v>Antone Harrold</v>
      </c>
      <c r="G451" s="2" t="str">
        <f>IF(_xlfn.XLOOKUP(C451,customers!$A$1:$A$1001,customers!$C$1:$C$1001,0)=0,"",_xlfn.XLOOKUP(C451,customers!$A$1:$A$1001,customers!$C$1:$C$1001))</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6">
        <f>INDEX(products!$A$1:$G$49,MATCH(orders!$D451,products!$A$1:$A$49,0),MATCH(orders!L$1,products!$A$1:$G$1,0))</f>
        <v>2.6849999999999996</v>
      </c>
      <c r="M451" s="6">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cm="1">
        <f t="array" ref="F452">_xlfn.XLOOKUP(C452,customers!A$1:$A$1001,customers!$B$1:$B$1001,0)</f>
        <v>Sim Pamphilon</v>
      </c>
      <c r="G452" s="2" t="str">
        <f>IF(_xlfn.XLOOKUP(C452,customers!$A$1:$A$1001,customers!$C$1:$C$1001,0)=0,"",_xlfn.XLOOKUP(C452,customers!$A$1:$A$1001,customers!$C$1:$C$1001))</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6">
        <f>INDEX(products!$A$1:$G$49,MATCH(orders!$D452,products!$A$1:$A$49,0),MATCH(orders!L$1,products!$A$1:$G$1,0))</f>
        <v>4.7549999999999999</v>
      </c>
      <c r="M452" s="6">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cm="1">
        <f t="array" ref="F453">_xlfn.XLOOKUP(C453,customers!A$1:$A$1001,customers!$B$1:$B$1001,0)</f>
        <v>Mohandis Spurden</v>
      </c>
      <c r="G453" s="2" t="str">
        <f>IF(_xlfn.XLOOKUP(C453,customers!$A$1:$A$1001,customers!$C$1:$C$1001,0)=0,"",_xlfn.XLOOKUP(C453,customers!$A$1:$A$1001,customers!$C$1:$C$1001))</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6">
        <f>INDEX(products!$A$1:$G$49,MATCH(orders!$D453,products!$A$1:$A$49,0),MATCH(orders!L$1,products!$A$1:$G$1,0))</f>
        <v>20.584999999999997</v>
      </c>
      <c r="M453" s="6">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cm="1">
        <f t="array" ref="F454">_xlfn.XLOOKUP(C454,customers!A$1:$A$1001,customers!$B$1:$B$1001,0)</f>
        <v>Morgen Seson</v>
      </c>
      <c r="G454" s="2" t="str">
        <f>IF(_xlfn.XLOOKUP(C454,customers!$A$1:$A$1001,customers!$C$1:$C$1001,0)=0,"",_xlfn.XLOOKUP(C454,customers!$A$1:$A$1001,customers!$C$1:$C$1001))</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6">
        <f>INDEX(products!$A$1:$G$49,MATCH(orders!$D454,products!$A$1:$A$49,0),MATCH(orders!L$1,products!$A$1:$G$1,0))</f>
        <v>3.8849999999999998</v>
      </c>
      <c r="M454" s="6">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cm="1">
        <f t="array" ref="F455">_xlfn.XLOOKUP(C455,customers!A$1:$A$1001,customers!$B$1:$B$1001,0)</f>
        <v>Nalani Pirrone</v>
      </c>
      <c r="G455" s="2" t="str">
        <f>IF(_xlfn.XLOOKUP(C455,customers!$A$1:$A$1001,customers!$C$1:$C$1001,0)=0,"",_xlfn.XLOOKUP(C455,customers!$A$1:$A$1001,customers!$C$1:$C$1001))</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6">
        <f>INDEX(products!$A$1:$G$49,MATCH(orders!$D455,products!$A$1:$A$49,0),MATCH(orders!L$1,products!$A$1:$G$1,0))</f>
        <v>9.51</v>
      </c>
      <c r="M455" s="6">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cm="1">
        <f t="array" ref="F456">_xlfn.XLOOKUP(C456,customers!A$1:$A$1001,customers!$B$1:$B$1001,0)</f>
        <v>Reube Cawley</v>
      </c>
      <c r="G456" s="2" t="str">
        <f>IF(_xlfn.XLOOKUP(C456,customers!$A$1:$A$1001,customers!$C$1:$C$1001,0)=0,"",_xlfn.XLOOKUP(C456,customers!$A$1:$A$1001,customers!$C$1:$C$1001))</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6">
        <f>INDEX(products!$A$1:$G$49,MATCH(orders!$D456,products!$A$1:$A$49,0),MATCH(orders!L$1,products!$A$1:$G$1,0))</f>
        <v>20.584999999999997</v>
      </c>
      <c r="M456" s="6">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cm="1">
        <f t="array" ref="F457">_xlfn.XLOOKUP(C457,customers!A$1:$A$1001,customers!$B$1:$B$1001,0)</f>
        <v>Stan Barribal</v>
      </c>
      <c r="G457" s="2" t="str">
        <f>IF(_xlfn.XLOOKUP(C457,customers!$A$1:$A$1001,customers!$C$1:$C$1001,0)=0,"",_xlfn.XLOOKUP(C457,customers!$A$1:$A$1001,customers!$C$1:$C$1001))</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6">
        <f>INDEX(products!$A$1:$G$49,MATCH(orders!$D457,products!$A$1:$A$49,0),MATCH(orders!L$1,products!$A$1:$G$1,0))</f>
        <v>4.7549999999999999</v>
      </c>
      <c r="M457" s="6">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cm="1">
        <f t="array" ref="F458">_xlfn.XLOOKUP(C458,customers!A$1:$A$1001,customers!$B$1:$B$1001,0)</f>
        <v>Agnes Adamides</v>
      </c>
      <c r="G458" s="2" t="str">
        <f>IF(_xlfn.XLOOKUP(C458,customers!$A$1:$A$1001,customers!$C$1:$C$1001,0)=0,"",_xlfn.XLOOKUP(C458,customers!$A$1:$A$1001,customers!$C$1:$C$1001))</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6">
        <f>INDEX(products!$A$1:$G$49,MATCH(orders!$D458,products!$A$1:$A$49,0),MATCH(orders!L$1,products!$A$1:$G$1,0))</f>
        <v>20.584999999999997</v>
      </c>
      <c r="M458" s="6">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cm="1">
        <f t="array" ref="F459">_xlfn.XLOOKUP(C459,customers!A$1:$A$1001,customers!$B$1:$B$1001,0)</f>
        <v>Carmelita Thowes</v>
      </c>
      <c r="G459" s="2" t="str">
        <f>IF(_xlfn.XLOOKUP(C459,customers!$A$1:$A$1001,customers!$C$1:$C$1001,0)=0,"",_xlfn.XLOOKUP(C459,customers!$A$1:$A$1001,customers!$C$1:$C$1001))</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6">
        <f>INDEX(products!$A$1:$G$49,MATCH(orders!$D459,products!$A$1:$A$49,0),MATCH(orders!L$1,products!$A$1:$G$1,0))</f>
        <v>9.51</v>
      </c>
      <c r="M459" s="6">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cm="1">
        <f t="array" ref="F460">_xlfn.XLOOKUP(C460,customers!A$1:$A$1001,customers!$B$1:$B$1001,0)</f>
        <v>Rodolfo Willoway</v>
      </c>
      <c r="G460" s="2" t="str">
        <f>IF(_xlfn.XLOOKUP(C460,customers!$A$1:$A$1001,customers!$C$1:$C$1001,0)=0,"",_xlfn.XLOOKUP(C460,customers!$A$1:$A$1001,customers!$C$1:$C$1001))</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6">
        <f>INDEX(products!$A$1:$G$49,MATCH(orders!$D460,products!$A$1:$A$49,0),MATCH(orders!L$1,products!$A$1:$G$1,0))</f>
        <v>11.25</v>
      </c>
      <c r="M460" s="6">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cm="1">
        <f t="array" ref="F461">_xlfn.XLOOKUP(C461,customers!A$1:$A$1001,customers!$B$1:$B$1001,0)</f>
        <v>Alvis Elwin</v>
      </c>
      <c r="G461" s="2" t="str">
        <f>IF(_xlfn.XLOOKUP(C461,customers!$A$1:$A$1001,customers!$C$1:$C$1001,0)=0,"",_xlfn.XLOOKUP(C461,customers!$A$1:$A$1001,customers!$C$1:$C$1001))</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6">
        <f>INDEX(products!$A$1:$G$49,MATCH(orders!$D461,products!$A$1:$A$49,0),MATCH(orders!L$1,products!$A$1:$G$1,0))</f>
        <v>4.7549999999999999</v>
      </c>
      <c r="M461" s="6">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cm="1">
        <f t="array" ref="F462">_xlfn.XLOOKUP(C462,customers!A$1:$A$1001,customers!$B$1:$B$1001,0)</f>
        <v>Araldo Bilbrook</v>
      </c>
      <c r="G462" s="2" t="str">
        <f>IF(_xlfn.XLOOKUP(C462,customers!$A$1:$A$1001,customers!$C$1:$C$1001,0)=0,"",_xlfn.XLOOKUP(C462,customers!$A$1:$A$1001,customers!$C$1:$C$1001))</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6">
        <f>INDEX(products!$A$1:$G$49,MATCH(orders!$D462,products!$A$1:$A$49,0),MATCH(orders!L$1,products!$A$1:$G$1,0))</f>
        <v>5.3699999999999992</v>
      </c>
      <c r="M462" s="6">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cm="1">
        <f t="array" ref="F463">_xlfn.XLOOKUP(C463,customers!A$1:$A$1001,customers!$B$1:$B$1001,0)</f>
        <v>Ransell McKall</v>
      </c>
      <c r="G463" s="2" t="str">
        <f>IF(_xlfn.XLOOKUP(C463,customers!$A$1:$A$1001,customers!$C$1:$C$1001,0)=0,"",_xlfn.XLOOKUP(C463,customers!$A$1:$A$1001,customers!$C$1:$C$1001))</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6">
        <f>INDEX(products!$A$1:$G$49,MATCH(orders!$D463,products!$A$1:$A$49,0),MATCH(orders!L$1,products!$A$1:$G$1,0))</f>
        <v>2.6849999999999996</v>
      </c>
      <c r="M463" s="6">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cm="1">
        <f t="array" ref="F464">_xlfn.XLOOKUP(C464,customers!A$1:$A$1001,customers!$B$1:$B$1001,0)</f>
        <v>Borg Daile</v>
      </c>
      <c r="G464" s="2" t="str">
        <f>IF(_xlfn.XLOOKUP(C464,customers!$A$1:$A$1001,customers!$C$1:$C$1001,0)=0,"",_xlfn.XLOOKUP(C464,customers!$A$1:$A$1001,customers!$C$1:$C$1001))</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6">
        <f>INDEX(products!$A$1:$G$49,MATCH(orders!$D464,products!$A$1:$A$49,0),MATCH(orders!L$1,products!$A$1:$G$1,0))</f>
        <v>9.9499999999999993</v>
      </c>
      <c r="M464" s="6">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cm="1">
        <f t="array" ref="F465">_xlfn.XLOOKUP(C465,customers!A$1:$A$1001,customers!$B$1:$B$1001,0)</f>
        <v>Adolphe Treherne</v>
      </c>
      <c r="G465" s="2" t="str">
        <f>IF(_xlfn.XLOOKUP(C465,customers!$A$1:$A$1001,customers!$C$1:$C$1001,0)=0,"",_xlfn.XLOOKUP(C465,customers!$A$1:$A$1001,customers!$C$1:$C$1001))</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6">
        <f>INDEX(products!$A$1:$G$49,MATCH(orders!$D465,products!$A$1:$A$49,0),MATCH(orders!L$1,products!$A$1:$G$1,0))</f>
        <v>13.75</v>
      </c>
      <c r="M465" s="6">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cm="1">
        <f t="array" ref="F466">_xlfn.XLOOKUP(C466,customers!A$1:$A$1001,customers!$B$1:$B$1001,0)</f>
        <v>Annetta Brentnall</v>
      </c>
      <c r="G466" s="2" t="str">
        <f>IF(_xlfn.XLOOKUP(C466,customers!$A$1:$A$1001,customers!$C$1:$C$1001,0)=0,"",_xlfn.XLOOKUP(C466,customers!$A$1:$A$1001,customers!$C$1:$C$1001))</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6">
        <f>INDEX(products!$A$1:$G$49,MATCH(orders!$D466,products!$A$1:$A$49,0),MATCH(orders!L$1,products!$A$1:$G$1,0))</f>
        <v>29.784999999999997</v>
      </c>
      <c r="M466" s="6">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cm="1">
        <f t="array" ref="F467">_xlfn.XLOOKUP(C467,customers!A$1:$A$1001,customers!$B$1:$B$1001,0)</f>
        <v>Dick Drinkall</v>
      </c>
      <c r="G467" s="2" t="str">
        <f>IF(_xlfn.XLOOKUP(C467,customers!$A$1:$A$1001,customers!$C$1:$C$1001,0)=0,"",_xlfn.XLOOKUP(C467,customers!$A$1:$A$1001,customers!$C$1:$C$1001))</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6">
        <f>INDEX(products!$A$1:$G$49,MATCH(orders!$D467,products!$A$1:$A$49,0),MATCH(orders!L$1,products!$A$1:$G$1,0))</f>
        <v>20.584999999999997</v>
      </c>
      <c r="M467" s="6">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cm="1">
        <f t="array" ref="F468">_xlfn.XLOOKUP(C468,customers!A$1:$A$1001,customers!$B$1:$B$1001,0)</f>
        <v>Dagny Kornel</v>
      </c>
      <c r="G468" s="2" t="str">
        <f>IF(_xlfn.XLOOKUP(C468,customers!$A$1:$A$1001,customers!$C$1:$C$1001,0)=0,"",_xlfn.XLOOKUP(C468,customers!$A$1:$A$1001,customers!$C$1:$C$1001))</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6">
        <f>INDEX(products!$A$1:$G$49,MATCH(orders!$D468,products!$A$1:$A$49,0),MATCH(orders!L$1,products!$A$1:$G$1,0))</f>
        <v>2.9849999999999999</v>
      </c>
      <c r="M468" s="6">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cm="1">
        <f t="array" ref="F469">_xlfn.XLOOKUP(C469,customers!A$1:$A$1001,customers!$B$1:$B$1001,0)</f>
        <v>Rhona Lequeux</v>
      </c>
      <c r="G469" s="2" t="str">
        <f>IF(_xlfn.XLOOKUP(C469,customers!$A$1:$A$1001,customers!$C$1:$C$1001,0)=0,"",_xlfn.XLOOKUP(C469,customers!$A$1:$A$1001,customers!$C$1:$C$1001))</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6">
        <f>INDEX(products!$A$1:$G$49,MATCH(orders!$D469,products!$A$1:$A$49,0),MATCH(orders!L$1,products!$A$1:$G$1,0))</f>
        <v>5.97</v>
      </c>
      <c r="M469" s="6">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cm="1">
        <f t="array" ref="F470">_xlfn.XLOOKUP(C470,customers!A$1:$A$1001,customers!$B$1:$B$1001,0)</f>
        <v>Julius Mccaull</v>
      </c>
      <c r="G470" s="2" t="str">
        <f>IF(_xlfn.XLOOKUP(C470,customers!$A$1:$A$1001,customers!$C$1:$C$1001,0)=0,"",_xlfn.XLOOKUP(C470,customers!$A$1:$A$1001,customers!$C$1:$C$1001))</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6">
        <f>INDEX(products!$A$1:$G$49,MATCH(orders!$D470,products!$A$1:$A$49,0),MATCH(orders!L$1,products!$A$1:$G$1,0))</f>
        <v>13.75</v>
      </c>
      <c r="M470" s="6">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cm="1">
        <f t="array" ref="F471">_xlfn.XLOOKUP(C471,customers!A$1:$A$1001,customers!$B$1:$B$1001,0)</f>
        <v>Ailey Brash</v>
      </c>
      <c r="G471" s="2" t="str">
        <f>IF(_xlfn.XLOOKUP(C471,customers!$A$1:$A$1001,customers!$C$1:$C$1001,0)=0,"",_xlfn.XLOOKUP(C471,customers!$A$1:$A$1001,customers!$C$1:$C$1001))</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6">
        <f>INDEX(products!$A$1:$G$49,MATCH(orders!$D471,products!$A$1:$A$49,0),MATCH(orders!L$1,products!$A$1:$G$1,0))</f>
        <v>4.4550000000000001</v>
      </c>
      <c r="M471" s="6">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cm="1">
        <f t="array" ref="F472">_xlfn.XLOOKUP(C472,customers!A$1:$A$1001,customers!$B$1:$B$1001,0)</f>
        <v>Alberto Hutchinson</v>
      </c>
      <c r="G472" s="2" t="str">
        <f>IF(_xlfn.XLOOKUP(C472,customers!$A$1:$A$1001,customers!$C$1:$C$1001,0)=0,"",_xlfn.XLOOKUP(C472,customers!$A$1:$A$1001,customers!$C$1:$C$1001))</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6">
        <f>INDEX(products!$A$1:$G$49,MATCH(orders!$D472,products!$A$1:$A$49,0),MATCH(orders!L$1,products!$A$1:$G$1,0))</f>
        <v>6.75</v>
      </c>
      <c r="M472" s="6">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cm="1">
        <f t="array" ref="F473">_xlfn.XLOOKUP(C473,customers!A$1:$A$1001,customers!$B$1:$B$1001,0)</f>
        <v>Lamond Gheeraert</v>
      </c>
      <c r="G473" s="2" t="str">
        <f>IF(_xlfn.XLOOKUP(C473,customers!$A$1:$A$1001,customers!$C$1:$C$1001,0)=0,"",_xlfn.XLOOKUP(C473,customers!$A$1:$A$1001,customers!$C$1:$C$1001))</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6">
        <f>INDEX(products!$A$1:$G$49,MATCH(orders!$D473,products!$A$1:$A$49,0),MATCH(orders!L$1,products!$A$1:$G$1,0))</f>
        <v>33.464999999999996</v>
      </c>
      <c r="M473" s="6">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cm="1">
        <f t="array" ref="F474">_xlfn.XLOOKUP(C474,customers!A$1:$A$1001,customers!$B$1:$B$1001,0)</f>
        <v>Roxine Drivers</v>
      </c>
      <c r="G474" s="2" t="str">
        <f>IF(_xlfn.XLOOKUP(C474,customers!$A$1:$A$1001,customers!$C$1:$C$1001,0)=0,"",_xlfn.XLOOKUP(C474,customers!$A$1:$A$1001,customers!$C$1:$C$1001))</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6">
        <f>INDEX(products!$A$1:$G$49,MATCH(orders!$D474,products!$A$1:$A$49,0),MATCH(orders!L$1,products!$A$1:$G$1,0))</f>
        <v>2.9849999999999999</v>
      </c>
      <c r="M474" s="6">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cm="1">
        <f t="array" ref="F475">_xlfn.XLOOKUP(C475,customers!A$1:$A$1001,customers!$B$1:$B$1001,0)</f>
        <v>Heloise Zeal</v>
      </c>
      <c r="G475" s="2" t="str">
        <f>IF(_xlfn.XLOOKUP(C475,customers!$A$1:$A$1001,customers!$C$1:$C$1001,0)=0,"",_xlfn.XLOOKUP(C475,customers!$A$1:$A$1001,customers!$C$1:$C$1001))</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6">
        <f>INDEX(products!$A$1:$G$49,MATCH(orders!$D475,products!$A$1:$A$49,0),MATCH(orders!L$1,products!$A$1:$G$1,0))</f>
        <v>12.95</v>
      </c>
      <c r="M475" s="6">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cm="1">
        <f t="array" ref="F476">_xlfn.XLOOKUP(C476,customers!A$1:$A$1001,customers!$B$1:$B$1001,0)</f>
        <v>Granger Smallcombe</v>
      </c>
      <c r="G476" s="2" t="str">
        <f>IF(_xlfn.XLOOKUP(C476,customers!$A$1:$A$1001,customers!$C$1:$C$1001,0)=0,"",_xlfn.XLOOKUP(C476,customers!$A$1:$A$1001,customers!$C$1:$C$1001))</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6">
        <f>INDEX(products!$A$1:$G$49,MATCH(orders!$D476,products!$A$1:$A$49,0),MATCH(orders!L$1,products!$A$1:$G$1,0))</f>
        <v>31.624999999999996</v>
      </c>
      <c r="M476" s="6">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cm="1">
        <f t="array" ref="F477">_xlfn.XLOOKUP(C477,customers!A$1:$A$1001,customers!$B$1:$B$1001,0)</f>
        <v>Daryn Dibley</v>
      </c>
      <c r="G477" s="2" t="str">
        <f>IF(_xlfn.XLOOKUP(C477,customers!$A$1:$A$1001,customers!$C$1:$C$1001,0)=0,"",_xlfn.XLOOKUP(C477,customers!$A$1:$A$1001,customers!$C$1:$C$1001))</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6">
        <f>INDEX(products!$A$1:$G$49,MATCH(orders!$D477,products!$A$1:$A$49,0),MATCH(orders!L$1,products!$A$1:$G$1,0))</f>
        <v>4.3650000000000002</v>
      </c>
      <c r="M477" s="6">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cm="1">
        <f t="array" ref="F478">_xlfn.XLOOKUP(C478,customers!A$1:$A$1001,customers!$B$1:$B$1001,0)</f>
        <v>Gardy Dimitriou</v>
      </c>
      <c r="G478" s="2" t="str">
        <f>IF(_xlfn.XLOOKUP(C478,customers!$A$1:$A$1001,customers!$C$1:$C$1001,0)=0,"",_xlfn.XLOOKUP(C478,customers!$A$1:$A$1001,customers!$C$1:$C$1001))</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6">
        <f>INDEX(products!$A$1:$G$49,MATCH(orders!$D478,products!$A$1:$A$49,0),MATCH(orders!L$1,products!$A$1:$G$1,0))</f>
        <v>4.4550000000000001</v>
      </c>
      <c r="M478" s="6">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cm="1">
        <f t="array" ref="F479">_xlfn.XLOOKUP(C479,customers!A$1:$A$1001,customers!$B$1:$B$1001,0)</f>
        <v>Fanny Flanagan</v>
      </c>
      <c r="G479" s="2" t="str">
        <f>IF(_xlfn.XLOOKUP(C479,customers!$A$1:$A$1001,customers!$C$1:$C$1001,0)=0,"",_xlfn.XLOOKUP(C479,customers!$A$1:$A$1001,customers!$C$1:$C$1001))</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6">
        <f>INDEX(products!$A$1:$G$49,MATCH(orders!$D479,products!$A$1:$A$49,0),MATCH(orders!L$1,products!$A$1:$G$1,0))</f>
        <v>4.3650000000000002</v>
      </c>
      <c r="M479" s="6">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cm="1">
        <f t="array" ref="F480">_xlfn.XLOOKUP(C480,customers!A$1:$A$1001,customers!$B$1:$B$1001,0)</f>
        <v>Ailey Brash</v>
      </c>
      <c r="G480" s="2" t="str">
        <f>IF(_xlfn.XLOOKUP(C480,customers!$A$1:$A$1001,customers!$C$1:$C$1001,0)=0,"",_xlfn.XLOOKUP(C480,customers!$A$1:$A$1001,customers!$C$1:$C$1001))</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6">
        <f>INDEX(products!$A$1:$G$49,MATCH(orders!$D480,products!$A$1:$A$49,0),MATCH(orders!L$1,products!$A$1:$G$1,0))</f>
        <v>8.9499999999999993</v>
      </c>
      <c r="M480" s="6">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cm="1">
        <f t="array" ref="F481">_xlfn.XLOOKUP(C481,customers!A$1:$A$1001,customers!$B$1:$B$1001,0)</f>
        <v>Ailey Brash</v>
      </c>
      <c r="G481" s="2" t="str">
        <f>IF(_xlfn.XLOOKUP(C481,customers!$A$1:$A$1001,customers!$C$1:$C$1001,0)=0,"",_xlfn.XLOOKUP(C481,customers!$A$1:$A$1001,customers!$C$1:$C$1001))</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6">
        <f>INDEX(products!$A$1:$G$49,MATCH(orders!$D481,products!$A$1:$A$49,0),MATCH(orders!L$1,products!$A$1:$G$1,0))</f>
        <v>31.624999999999996</v>
      </c>
      <c r="M481" s="6">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cm="1">
        <f t="array" ref="F482">_xlfn.XLOOKUP(C482,customers!A$1:$A$1001,customers!$B$1:$B$1001,0)</f>
        <v>Ailey Brash</v>
      </c>
      <c r="G482" s="2" t="str">
        <f>IF(_xlfn.XLOOKUP(C482,customers!$A$1:$A$1001,customers!$C$1:$C$1001,0)=0,"",_xlfn.XLOOKUP(C482,customers!$A$1:$A$1001,customers!$C$1:$C$1001))</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6">
        <f>INDEX(products!$A$1:$G$49,MATCH(orders!$D482,products!$A$1:$A$49,0),MATCH(orders!L$1,products!$A$1:$G$1,0))</f>
        <v>4.125</v>
      </c>
      <c r="M482" s="6">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cm="1">
        <f t="array" ref="F483">_xlfn.XLOOKUP(C483,customers!A$1:$A$1001,customers!$B$1:$B$1001,0)</f>
        <v>Nanny Izhakov</v>
      </c>
      <c r="G483" s="2" t="str">
        <f>IF(_xlfn.XLOOKUP(C483,customers!$A$1:$A$1001,customers!$C$1:$C$1001,0)=0,"",_xlfn.XLOOKUP(C483,customers!$A$1:$A$1001,customers!$C$1:$C$1001))</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6">
        <f>INDEX(products!$A$1:$G$49,MATCH(orders!$D483,products!$A$1:$A$49,0),MATCH(orders!L$1,products!$A$1:$G$1,0))</f>
        <v>11.95</v>
      </c>
      <c r="M483" s="6">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cm="1">
        <f t="array" ref="F484">_xlfn.XLOOKUP(C484,customers!A$1:$A$1001,customers!$B$1:$B$1001,0)</f>
        <v>Stanly Keets</v>
      </c>
      <c r="G484" s="2" t="str">
        <f>IF(_xlfn.XLOOKUP(C484,customers!$A$1:$A$1001,customers!$C$1:$C$1001,0)=0,"",_xlfn.XLOOKUP(C484,customers!$A$1:$A$1001,customers!$C$1:$C$1001))</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6">
        <f>INDEX(products!$A$1:$G$49,MATCH(orders!$D484,products!$A$1:$A$49,0),MATCH(orders!L$1,products!$A$1:$G$1,0))</f>
        <v>27.945</v>
      </c>
      <c r="M484" s="6">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cm="1">
        <f t="array" ref="F485">_xlfn.XLOOKUP(C485,customers!A$1:$A$1001,customers!$B$1:$B$1001,0)</f>
        <v>Orion Dyott</v>
      </c>
      <c r="G485" s="2" t="str">
        <f>IF(_xlfn.XLOOKUP(C485,customers!$A$1:$A$1001,customers!$C$1:$C$1001,0)=0,"",_xlfn.XLOOKUP(C485,customers!$A$1:$A$1001,customers!$C$1:$C$1001))</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6">
        <f>INDEX(products!$A$1:$G$49,MATCH(orders!$D485,products!$A$1:$A$49,0),MATCH(orders!L$1,products!$A$1:$G$1,0))</f>
        <v>29.784999999999997</v>
      </c>
      <c r="M485" s="6">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cm="1">
        <f t="array" ref="F486">_xlfn.XLOOKUP(C486,customers!A$1:$A$1001,customers!$B$1:$B$1001,0)</f>
        <v>Keefer Cake</v>
      </c>
      <c r="G486" s="2" t="str">
        <f>IF(_xlfn.XLOOKUP(C486,customers!$A$1:$A$1001,customers!$C$1:$C$1001,0)=0,"",_xlfn.XLOOKUP(C486,customers!$A$1:$A$1001,customers!$C$1:$C$1001))</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6">
        <f>INDEX(products!$A$1:$G$49,MATCH(orders!$D486,products!$A$1:$A$49,0),MATCH(orders!L$1,products!$A$1:$G$1,0))</f>
        <v>9.51</v>
      </c>
      <c r="M486" s="6">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cm="1">
        <f t="array" ref="F487">_xlfn.XLOOKUP(C487,customers!A$1:$A$1001,customers!$B$1:$B$1001,0)</f>
        <v>Morna Hansed</v>
      </c>
      <c r="G487" s="2" t="str">
        <f>IF(_xlfn.XLOOKUP(C487,customers!$A$1:$A$1001,customers!$C$1:$C$1001,0)=0,"",_xlfn.XLOOKUP(C487,customers!$A$1:$A$1001,customers!$C$1:$C$1001))</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6">
        <f>INDEX(products!$A$1:$G$49,MATCH(orders!$D487,products!$A$1:$A$49,0),MATCH(orders!L$1,products!$A$1:$G$1,0))</f>
        <v>3.5849999999999995</v>
      </c>
      <c r="M487" s="6">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cm="1">
        <f t="array" ref="F488">_xlfn.XLOOKUP(C488,customers!A$1:$A$1001,customers!$B$1:$B$1001,0)</f>
        <v>Franny Kienlein</v>
      </c>
      <c r="G488" s="2" t="str">
        <f>IF(_xlfn.XLOOKUP(C488,customers!$A$1:$A$1001,customers!$C$1:$C$1001,0)=0,"",_xlfn.XLOOKUP(C488,customers!$A$1:$A$1001,customers!$C$1:$C$1001))</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6">
        <f>INDEX(products!$A$1:$G$49,MATCH(orders!$D488,products!$A$1:$A$49,0),MATCH(orders!L$1,products!$A$1:$G$1,0))</f>
        <v>8.73</v>
      </c>
      <c r="M488" s="6">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cm="1">
        <f t="array" ref="F489">_xlfn.XLOOKUP(C489,customers!A$1:$A$1001,customers!$B$1:$B$1001,0)</f>
        <v>Klarika Egglestone</v>
      </c>
      <c r="G489" s="2" t="str">
        <f>IF(_xlfn.XLOOKUP(C489,customers!$A$1:$A$1001,customers!$C$1:$C$1001,0)=0,"",_xlfn.XLOOKUP(C489,customers!$A$1:$A$1001,customers!$C$1:$C$1001))</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6">
        <f>INDEX(products!$A$1:$G$49,MATCH(orders!$D489,products!$A$1:$A$49,0),MATCH(orders!L$1,products!$A$1:$G$1,0))</f>
        <v>12.15</v>
      </c>
      <c r="M489" s="6">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cm="1">
        <f t="array" ref="F490">_xlfn.XLOOKUP(C490,customers!A$1:$A$1001,customers!$B$1:$B$1001,0)</f>
        <v>Becky Semkins</v>
      </c>
      <c r="G490" s="2" t="str">
        <f>IF(_xlfn.XLOOKUP(C490,customers!$A$1:$A$1001,customers!$C$1:$C$1001,0)=0,"",_xlfn.XLOOKUP(C490,customers!$A$1:$A$1001,customers!$C$1:$C$1001))</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6">
        <f>INDEX(products!$A$1:$G$49,MATCH(orders!$D490,products!$A$1:$A$49,0),MATCH(orders!L$1,products!$A$1:$G$1,0))</f>
        <v>2.9849999999999999</v>
      </c>
      <c r="M490" s="6">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cm="1">
        <f t="array" ref="F491">_xlfn.XLOOKUP(C491,customers!A$1:$A$1001,customers!$B$1:$B$1001,0)</f>
        <v>Sean Lorenzetti</v>
      </c>
      <c r="G491" s="2" t="str">
        <f>IF(_xlfn.XLOOKUP(C491,customers!$A$1:$A$1001,customers!$C$1:$C$1001,0)=0,"",_xlfn.XLOOKUP(C491,customers!$A$1:$A$1001,customers!$C$1:$C$1001))</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6">
        <f>INDEX(products!$A$1:$G$49,MATCH(orders!$D491,products!$A$1:$A$49,0),MATCH(orders!L$1,products!$A$1:$G$1,0))</f>
        <v>15.85</v>
      </c>
      <c r="M491" s="6">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cm="1">
        <f t="array" ref="F492">_xlfn.XLOOKUP(C492,customers!A$1:$A$1001,customers!$B$1:$B$1001,0)</f>
        <v>Bob Giannazzi</v>
      </c>
      <c r="G492" s="2" t="str">
        <f>IF(_xlfn.XLOOKUP(C492,customers!$A$1:$A$1001,customers!$C$1:$C$1001,0)=0,"",_xlfn.XLOOKUP(C492,customers!$A$1:$A$1001,customers!$C$1:$C$1001))</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6">
        <f>INDEX(products!$A$1:$G$49,MATCH(orders!$D492,products!$A$1:$A$49,0),MATCH(orders!L$1,products!$A$1:$G$1,0))</f>
        <v>7.77</v>
      </c>
      <c r="M492" s="6">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cm="1">
        <f t="array" ref="F493">_xlfn.XLOOKUP(C493,customers!A$1:$A$1001,customers!$B$1:$B$1001,0)</f>
        <v>Kendra Backshell</v>
      </c>
      <c r="G493" s="2" t="str">
        <f>IF(_xlfn.XLOOKUP(C493,customers!$A$1:$A$1001,customers!$C$1:$C$1001,0)=0,"",_xlfn.XLOOKUP(C493,customers!$A$1:$A$1001,customers!$C$1:$C$1001))</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6">
        <f>INDEX(products!$A$1:$G$49,MATCH(orders!$D493,products!$A$1:$A$49,0),MATCH(orders!L$1,products!$A$1:$G$1,0))</f>
        <v>3.8849999999999998</v>
      </c>
      <c r="M493" s="6">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cm="1">
        <f t="array" ref="F494">_xlfn.XLOOKUP(C494,customers!A$1:$A$1001,customers!$B$1:$B$1001,0)</f>
        <v>Uriah Lethbrig</v>
      </c>
      <c r="G494" s="2" t="str">
        <f>IF(_xlfn.XLOOKUP(C494,customers!$A$1:$A$1001,customers!$C$1:$C$1001,0)=0,"",_xlfn.XLOOKUP(C494,customers!$A$1:$A$1001,customers!$C$1:$C$1001))</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6">
        <f>INDEX(products!$A$1:$G$49,MATCH(orders!$D494,products!$A$1:$A$49,0),MATCH(orders!L$1,products!$A$1:$G$1,0))</f>
        <v>4.125</v>
      </c>
      <c r="M494" s="6">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cm="1">
        <f t="array" ref="F495">_xlfn.XLOOKUP(C495,customers!A$1:$A$1001,customers!$B$1:$B$1001,0)</f>
        <v>Sky Farnish</v>
      </c>
      <c r="G495" s="2" t="str">
        <f>IF(_xlfn.XLOOKUP(C495,customers!$A$1:$A$1001,customers!$C$1:$C$1001,0)=0,"",_xlfn.XLOOKUP(C495,customers!$A$1:$A$1001,customers!$C$1:$C$1001))</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6">
        <f>INDEX(products!$A$1:$G$49,MATCH(orders!$D495,products!$A$1:$A$49,0),MATCH(orders!L$1,products!$A$1:$G$1,0))</f>
        <v>5.97</v>
      </c>
      <c r="M495" s="6">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cm="1">
        <f t="array" ref="F496">_xlfn.XLOOKUP(C496,customers!A$1:$A$1001,customers!$B$1:$B$1001,0)</f>
        <v>Felicia Jecock</v>
      </c>
      <c r="G496" s="2" t="str">
        <f>IF(_xlfn.XLOOKUP(C496,customers!$A$1:$A$1001,customers!$C$1:$C$1001,0)=0,"",_xlfn.XLOOKUP(C496,customers!$A$1:$A$1001,customers!$C$1:$C$1001))</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6">
        <f>INDEX(products!$A$1:$G$49,MATCH(orders!$D496,products!$A$1:$A$49,0),MATCH(orders!L$1,products!$A$1:$G$1,0))</f>
        <v>15.85</v>
      </c>
      <c r="M496" s="6">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cm="1">
        <f t="array" ref="F497">_xlfn.XLOOKUP(C497,customers!A$1:$A$1001,customers!$B$1:$B$1001,0)</f>
        <v>Currey MacAllister</v>
      </c>
      <c r="G497" s="2" t="str">
        <f>IF(_xlfn.XLOOKUP(C497,customers!$A$1:$A$1001,customers!$C$1:$C$1001,0)=0,"",_xlfn.XLOOKUP(C497,customers!$A$1:$A$1001,customers!$C$1:$C$1001))</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6">
        <f>INDEX(products!$A$1:$G$49,MATCH(orders!$D497,products!$A$1:$A$49,0),MATCH(orders!L$1,products!$A$1:$G$1,0))</f>
        <v>15.85</v>
      </c>
      <c r="M497" s="6">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cm="1">
        <f t="array" ref="F498">_xlfn.XLOOKUP(C498,customers!A$1:$A$1001,customers!$B$1:$B$1001,0)</f>
        <v>Hamlen Pallister</v>
      </c>
      <c r="G498" s="2" t="str">
        <f>IF(_xlfn.XLOOKUP(C498,customers!$A$1:$A$1001,customers!$C$1:$C$1001,0)=0,"",_xlfn.XLOOKUP(C498,customers!$A$1:$A$1001,customers!$C$1:$C$1001))</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6">
        <f>INDEX(products!$A$1:$G$49,MATCH(orders!$D498,products!$A$1:$A$49,0),MATCH(orders!L$1,products!$A$1:$G$1,0))</f>
        <v>3.645</v>
      </c>
      <c r="M498" s="6">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cm="1">
        <f t="array" ref="F499">_xlfn.XLOOKUP(C499,customers!A$1:$A$1001,customers!$B$1:$B$1001,0)</f>
        <v>Chantal Mersh</v>
      </c>
      <c r="G499" s="2" t="str">
        <f>IF(_xlfn.XLOOKUP(C499,customers!$A$1:$A$1001,customers!$C$1:$C$1001,0)=0,"",_xlfn.XLOOKUP(C499,customers!$A$1:$A$1001,customers!$C$1:$C$1001))</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6">
        <f>INDEX(products!$A$1:$G$49,MATCH(orders!$D499,products!$A$1:$A$49,0),MATCH(orders!L$1,products!$A$1:$G$1,0))</f>
        <v>9.9499999999999993</v>
      </c>
      <c r="M499" s="6">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cm="1">
        <f t="array" ref="F500">_xlfn.XLOOKUP(C500,customers!A$1:$A$1001,customers!$B$1:$B$1001,0)</f>
        <v>Marja Urion</v>
      </c>
      <c r="G500" s="2" t="str">
        <f>IF(_xlfn.XLOOKUP(C500,customers!$A$1:$A$1001,customers!$C$1:$C$1001,0)=0,"",_xlfn.XLOOKUP(C500,customers!$A$1:$A$1001,customers!$C$1:$C$1001))</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6">
        <f>INDEX(products!$A$1:$G$49,MATCH(orders!$D500,products!$A$1:$A$49,0),MATCH(orders!L$1,products!$A$1:$G$1,0))</f>
        <v>9.9499999999999993</v>
      </c>
      <c r="M500" s="6">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cm="1">
        <f t="array" ref="F501">_xlfn.XLOOKUP(C501,customers!A$1:$A$1001,customers!$B$1:$B$1001,0)</f>
        <v>Malynda Purbrick</v>
      </c>
      <c r="G501" s="2" t="str">
        <f>IF(_xlfn.XLOOKUP(C501,customers!$A$1:$A$1001,customers!$C$1:$C$1001,0)=0,"",_xlfn.XLOOKUP(C501,customers!$A$1:$A$1001,customers!$C$1:$C$1001))</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6">
        <f>INDEX(products!$A$1:$G$49,MATCH(orders!$D501,products!$A$1:$A$49,0),MATCH(orders!L$1,products!$A$1:$G$1,0))</f>
        <v>2.6849999999999996</v>
      </c>
      <c r="M501" s="6">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cm="1">
        <f t="array" ref="F502">_xlfn.XLOOKUP(C502,customers!A$1:$A$1001,customers!$B$1:$B$1001,0)</f>
        <v>Alf Housaman</v>
      </c>
      <c r="G502" s="2" t="str">
        <f>IF(_xlfn.XLOOKUP(C502,customers!$A$1:$A$1001,customers!$C$1:$C$1001,0)=0,"",_xlfn.XLOOKUP(C502,customers!$A$1:$A$1001,customers!$C$1:$C$1001))</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6">
        <f>INDEX(products!$A$1:$G$49,MATCH(orders!$D502,products!$A$1:$A$49,0),MATCH(orders!L$1,products!$A$1:$G$1,0))</f>
        <v>11.95</v>
      </c>
      <c r="M502" s="6">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cm="1">
        <f t="array" ref="F503">_xlfn.XLOOKUP(C503,customers!A$1:$A$1001,customers!$B$1:$B$1001,0)</f>
        <v>Gladi Ducker</v>
      </c>
      <c r="G503" s="2" t="str">
        <f>IF(_xlfn.XLOOKUP(C503,customers!$A$1:$A$1001,customers!$C$1:$C$1001,0)=0,"",_xlfn.XLOOKUP(C503,customers!$A$1:$A$1001,customers!$C$1:$C$1001))</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6">
        <f>INDEX(products!$A$1:$G$49,MATCH(orders!$D503,products!$A$1:$A$49,0),MATCH(orders!L$1,products!$A$1:$G$1,0))</f>
        <v>2.9849999999999999</v>
      </c>
      <c r="M503" s="6">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cm="1">
        <f t="array" ref="F504">_xlfn.XLOOKUP(C504,customers!A$1:$A$1001,customers!$B$1:$B$1001,0)</f>
        <v>Gladi Ducker</v>
      </c>
      <c r="G504" s="2" t="str">
        <f>IF(_xlfn.XLOOKUP(C504,customers!$A$1:$A$1001,customers!$C$1:$C$1001,0)=0,"",_xlfn.XLOOKUP(C504,customers!$A$1:$A$1001,customers!$C$1:$C$1001))</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6">
        <f>INDEX(products!$A$1:$G$49,MATCH(orders!$D504,products!$A$1:$A$49,0),MATCH(orders!L$1,products!$A$1:$G$1,0))</f>
        <v>4.125</v>
      </c>
      <c r="M504" s="6">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cm="1">
        <f t="array" ref="F505">_xlfn.XLOOKUP(C505,customers!A$1:$A$1001,customers!$B$1:$B$1001,0)</f>
        <v>Gladi Ducker</v>
      </c>
      <c r="G505" s="2" t="str">
        <f>IF(_xlfn.XLOOKUP(C505,customers!$A$1:$A$1001,customers!$C$1:$C$1001,0)=0,"",_xlfn.XLOOKUP(C505,customers!$A$1:$A$1001,customers!$C$1:$C$1001))</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6">
        <f>INDEX(products!$A$1:$G$49,MATCH(orders!$D505,products!$A$1:$A$49,0),MATCH(orders!L$1,products!$A$1:$G$1,0))</f>
        <v>12.95</v>
      </c>
      <c r="M505" s="6">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cm="1">
        <f t="array" ref="F506">_xlfn.XLOOKUP(C506,customers!A$1:$A$1001,customers!$B$1:$B$1001,0)</f>
        <v>Gladi Ducker</v>
      </c>
      <c r="G506" s="2" t="str">
        <f>IF(_xlfn.XLOOKUP(C506,customers!$A$1:$A$1001,customers!$C$1:$C$1001,0)=0,"",_xlfn.XLOOKUP(C506,customers!$A$1:$A$1001,customers!$C$1:$C$1001))</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6">
        <f>INDEX(products!$A$1:$G$49,MATCH(orders!$D506,products!$A$1:$A$49,0),MATCH(orders!L$1,products!$A$1:$G$1,0))</f>
        <v>4.7549999999999999</v>
      </c>
      <c r="M506" s="6">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cm="1">
        <f t="array" ref="F507">_xlfn.XLOOKUP(C507,customers!A$1:$A$1001,customers!$B$1:$B$1001,0)</f>
        <v>Wain Stearley</v>
      </c>
      <c r="G507" s="2" t="str">
        <f>IF(_xlfn.XLOOKUP(C507,customers!$A$1:$A$1001,customers!$C$1:$C$1001,0)=0,"",_xlfn.XLOOKUP(C507,customers!$A$1:$A$1001,customers!$C$1:$C$1001))</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6">
        <f>INDEX(products!$A$1:$G$49,MATCH(orders!$D507,products!$A$1:$A$49,0),MATCH(orders!L$1,products!$A$1:$G$1,0))</f>
        <v>4.3650000000000002</v>
      </c>
      <c r="M507" s="6">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cm="1">
        <f t="array" ref="F508">_xlfn.XLOOKUP(C508,customers!A$1:$A$1001,customers!$B$1:$B$1001,0)</f>
        <v>Diane-marie Wincer</v>
      </c>
      <c r="G508" s="2" t="str">
        <f>IF(_xlfn.XLOOKUP(C508,customers!$A$1:$A$1001,customers!$C$1:$C$1001,0)=0,"",_xlfn.XLOOKUP(C508,customers!$A$1:$A$1001,customers!$C$1:$C$1001))</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6">
        <f>INDEX(products!$A$1:$G$49,MATCH(orders!$D508,products!$A$1:$A$49,0),MATCH(orders!L$1,products!$A$1:$G$1,0))</f>
        <v>12.95</v>
      </c>
      <c r="M508" s="6">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cm="1">
        <f t="array" ref="F509">_xlfn.XLOOKUP(C509,customers!A$1:$A$1001,customers!$B$1:$B$1001,0)</f>
        <v>Perry Lyfield</v>
      </c>
      <c r="G509" s="2" t="str">
        <f>IF(_xlfn.XLOOKUP(C509,customers!$A$1:$A$1001,customers!$C$1:$C$1001,0)=0,"",_xlfn.XLOOKUP(C509,customers!$A$1:$A$1001,customers!$C$1:$C$1001))</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6">
        <f>INDEX(products!$A$1:$G$49,MATCH(orders!$D509,products!$A$1:$A$49,0),MATCH(orders!L$1,products!$A$1:$G$1,0))</f>
        <v>29.784999999999997</v>
      </c>
      <c r="M509" s="6">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cm="1">
        <f t="array" ref="F510">_xlfn.XLOOKUP(C510,customers!A$1:$A$1001,customers!$B$1:$B$1001,0)</f>
        <v>Heall Perris</v>
      </c>
      <c r="G510" s="2" t="str">
        <f>IF(_xlfn.XLOOKUP(C510,customers!$A$1:$A$1001,customers!$C$1:$C$1001,0)=0,"",_xlfn.XLOOKUP(C510,customers!$A$1:$A$1001,customers!$C$1:$C$1001))</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6">
        <f>INDEX(products!$A$1:$G$49,MATCH(orders!$D510,products!$A$1:$A$49,0),MATCH(orders!L$1,products!$A$1:$G$1,0))</f>
        <v>7.77</v>
      </c>
      <c r="M510" s="6">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cm="1">
        <f t="array" ref="F511">_xlfn.XLOOKUP(C511,customers!A$1:$A$1001,customers!$B$1:$B$1001,0)</f>
        <v>Marja Urion</v>
      </c>
      <c r="G511" s="2" t="str">
        <f>IF(_xlfn.XLOOKUP(C511,customers!$A$1:$A$1001,customers!$C$1:$C$1001,0)=0,"",_xlfn.XLOOKUP(C511,customers!$A$1:$A$1001,customers!$C$1:$C$1001))</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6">
        <f>INDEX(products!$A$1:$G$49,MATCH(orders!$D511,products!$A$1:$A$49,0),MATCH(orders!L$1,products!$A$1:$G$1,0))</f>
        <v>9.9499999999999993</v>
      </c>
      <c r="M511" s="6">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cm="1">
        <f t="array" ref="F512">_xlfn.XLOOKUP(C512,customers!A$1:$A$1001,customers!$B$1:$B$1001,0)</f>
        <v>Camellia Kid</v>
      </c>
      <c r="G512" s="2" t="str">
        <f>IF(_xlfn.XLOOKUP(C512,customers!$A$1:$A$1001,customers!$C$1:$C$1001,0)=0,"",_xlfn.XLOOKUP(C512,customers!$A$1:$A$1001,customers!$C$1:$C$1001))</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6">
        <f>INDEX(products!$A$1:$G$49,MATCH(orders!$D512,products!$A$1:$A$49,0),MATCH(orders!L$1,products!$A$1:$G$1,0))</f>
        <v>3.5849999999999995</v>
      </c>
      <c r="M512" s="6">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cm="1">
        <f t="array" ref="F513">_xlfn.XLOOKUP(C513,customers!A$1:$A$1001,customers!$B$1:$B$1001,0)</f>
        <v>Carolann Beine</v>
      </c>
      <c r="G513" s="2" t="str">
        <f>IF(_xlfn.XLOOKUP(C513,customers!$A$1:$A$1001,customers!$C$1:$C$1001,0)=0,"",_xlfn.XLOOKUP(C513,customers!$A$1:$A$1001,customers!$C$1:$C$1001))</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6">
        <f>INDEX(products!$A$1:$G$49,MATCH(orders!$D513,products!$A$1:$A$49,0),MATCH(orders!L$1,products!$A$1:$G$1,0))</f>
        <v>3.375</v>
      </c>
      <c r="M513" s="6">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cm="1">
        <f t="array" ref="F514">_xlfn.XLOOKUP(C514,customers!A$1:$A$1001,customers!$B$1:$B$1001,0)</f>
        <v>Celia Bakeup</v>
      </c>
      <c r="G514" s="2" t="str">
        <f>IF(_xlfn.XLOOKUP(C514,customers!$A$1:$A$1001,customers!$C$1:$C$1001,0)=0,"",_xlfn.XLOOKUP(C514,customers!$A$1:$A$1001,customers!$C$1:$C$1001))</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6">
        <f>INDEX(products!$A$1:$G$49,MATCH(orders!$D514,products!$A$1:$A$49,0),MATCH(orders!L$1,products!$A$1:$G$1,0))</f>
        <v>15.85</v>
      </c>
      <c r="M514" s="6">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cm="1">
        <f t="array" ref="F515">_xlfn.XLOOKUP(C515,customers!A$1:$A$1001,customers!$B$1:$B$1001,0)</f>
        <v>Nataniel Helkin</v>
      </c>
      <c r="G515" s="2" t="str">
        <f>IF(_xlfn.XLOOKUP(C515,customers!$A$1:$A$1001,customers!$C$1:$C$1001,0)=0,"",_xlfn.XLOOKUP(C515,customers!$A$1:$A$1001,customers!$C$1:$C$1001))</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6">
        <f>INDEX(products!$A$1:$G$49,MATCH(orders!$D515,products!$A$1:$A$49,0),MATCH(orders!L$1,products!$A$1:$G$1,0))</f>
        <v>15.85</v>
      </c>
      <c r="M515" s="6">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cm="1">
        <f t="array" ref="F516">_xlfn.XLOOKUP(C516,customers!A$1:$A$1001,customers!$B$1:$B$1001,0)</f>
        <v>Pippo Witherington</v>
      </c>
      <c r="G516" s="2" t="str">
        <f>IF(_xlfn.XLOOKUP(C516,customers!$A$1:$A$1001,customers!$C$1:$C$1001,0)=0,"",_xlfn.XLOOKUP(C516,customers!$A$1:$A$1001,customers!$C$1:$C$1001))</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6">
        <f>INDEX(products!$A$1:$G$49,MATCH(orders!$D516,products!$A$1:$A$49,0),MATCH(orders!L$1,products!$A$1:$G$1,0))</f>
        <v>4.3650000000000002</v>
      </c>
      <c r="M516" s="6">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cm="1">
        <f t="array" ref="F517">_xlfn.XLOOKUP(C517,customers!A$1:$A$1001,customers!$B$1:$B$1001,0)</f>
        <v>Tildie Tilzey</v>
      </c>
      <c r="G517" s="2" t="str">
        <f>IF(_xlfn.XLOOKUP(C517,customers!$A$1:$A$1001,customers!$C$1:$C$1001,0)=0,"",_xlfn.XLOOKUP(C517,customers!$A$1:$A$1001,customers!$C$1:$C$1001))</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6">
        <f>INDEX(products!$A$1:$G$49,MATCH(orders!$D517,products!$A$1:$A$49,0),MATCH(orders!L$1,products!$A$1:$G$1,0))</f>
        <v>7.169999999999999</v>
      </c>
      <c r="M517" s="6">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cm="1">
        <f t="array" ref="F518">_xlfn.XLOOKUP(C518,customers!A$1:$A$1001,customers!$B$1:$B$1001,0)</f>
        <v>Cindra Burling</v>
      </c>
      <c r="G518" s="2" t="str">
        <f>IF(_xlfn.XLOOKUP(C518,customers!$A$1:$A$1001,customers!$C$1:$C$1001,0)=0,"",_xlfn.XLOOKUP(C518,customers!$A$1:$A$1001,customers!$C$1:$C$1001))</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6">
        <f>INDEX(products!$A$1:$G$49,MATCH(orders!$D518,products!$A$1:$A$49,0),MATCH(orders!L$1,products!$A$1:$G$1,0))</f>
        <v>20.584999999999997</v>
      </c>
      <c r="M518" s="6">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cm="1">
        <f t="array" ref="F519">_xlfn.XLOOKUP(C519,customers!A$1:$A$1001,customers!$B$1:$B$1001,0)</f>
        <v>Channa Belamy</v>
      </c>
      <c r="G519" s="2" t="str">
        <f>IF(_xlfn.XLOOKUP(C519,customers!$A$1:$A$1001,customers!$C$1:$C$1001,0)=0,"",_xlfn.XLOOKUP(C519,customers!$A$1:$A$1001,customers!$C$1:$C$1001))</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6">
        <f>INDEX(products!$A$1:$G$49,MATCH(orders!$D519,products!$A$1:$A$49,0),MATCH(orders!L$1,products!$A$1:$G$1,0))</f>
        <v>3.8849999999999998</v>
      </c>
      <c r="M519" s="6">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cm="1">
        <f t="array" ref="F520">_xlfn.XLOOKUP(C520,customers!A$1:$A$1001,customers!$B$1:$B$1001,0)</f>
        <v>Karl Imorts</v>
      </c>
      <c r="G520" s="2" t="str">
        <f>IF(_xlfn.XLOOKUP(C520,customers!$A$1:$A$1001,customers!$C$1:$C$1001,0)=0,"",_xlfn.XLOOKUP(C520,customers!$A$1:$A$1001,customers!$C$1:$C$1001))</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6">
        <f>INDEX(products!$A$1:$G$49,MATCH(orders!$D520,products!$A$1:$A$49,0),MATCH(orders!L$1,products!$A$1:$G$1,0))</f>
        <v>27.945</v>
      </c>
      <c r="M520" s="6">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cm="1">
        <f t="array" ref="F521">_xlfn.XLOOKUP(C521,customers!A$1:$A$1001,customers!$B$1:$B$1001,0)</f>
        <v>Marja Urion</v>
      </c>
      <c r="G521" s="2" t="str">
        <f>IF(_xlfn.XLOOKUP(C521,customers!$A$1:$A$1001,customers!$C$1:$C$1001,0)=0,"",_xlfn.XLOOKUP(C521,customers!$A$1:$A$1001,customers!$C$1:$C$1001))</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6">
        <f>INDEX(products!$A$1:$G$49,MATCH(orders!$D521,products!$A$1:$A$49,0),MATCH(orders!L$1,products!$A$1:$G$1,0))</f>
        <v>5.97</v>
      </c>
      <c r="M521" s="6">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cm="1">
        <f t="array" ref="F522">_xlfn.XLOOKUP(C522,customers!A$1:$A$1001,customers!$B$1:$B$1001,0)</f>
        <v>Mag Armistead</v>
      </c>
      <c r="G522" s="2" t="str">
        <f>IF(_xlfn.XLOOKUP(C522,customers!$A$1:$A$1001,customers!$C$1:$C$1001,0)=0,"",_xlfn.XLOOKUP(C522,customers!$A$1:$A$1001,customers!$C$1:$C$1001))</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6">
        <f>INDEX(products!$A$1:$G$49,MATCH(orders!$D522,products!$A$1:$A$49,0),MATCH(orders!L$1,products!$A$1:$G$1,0))</f>
        <v>3.8849999999999998</v>
      </c>
      <c r="M522" s="6">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cm="1">
        <f t="array" ref="F523">_xlfn.XLOOKUP(C523,customers!A$1:$A$1001,customers!$B$1:$B$1001,0)</f>
        <v>Mag Armistead</v>
      </c>
      <c r="G523" s="2" t="str">
        <f>IF(_xlfn.XLOOKUP(C523,customers!$A$1:$A$1001,customers!$C$1:$C$1001,0)=0,"",_xlfn.XLOOKUP(C523,customers!$A$1:$A$1001,customers!$C$1:$C$1001))</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6">
        <f>INDEX(products!$A$1:$G$49,MATCH(orders!$D523,products!$A$1:$A$49,0),MATCH(orders!L$1,products!$A$1:$G$1,0))</f>
        <v>9.9499999999999993</v>
      </c>
      <c r="M523" s="6">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cm="1">
        <f t="array" ref="F524">_xlfn.XLOOKUP(C524,customers!A$1:$A$1001,customers!$B$1:$B$1001,0)</f>
        <v>Vasili Upstone</v>
      </c>
      <c r="G524" s="2" t="str">
        <f>IF(_xlfn.XLOOKUP(C524,customers!$A$1:$A$1001,customers!$C$1:$C$1001,0)=0,"",_xlfn.XLOOKUP(C524,customers!$A$1:$A$1001,customers!$C$1:$C$1001))</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6">
        <f>INDEX(products!$A$1:$G$49,MATCH(orders!$D524,products!$A$1:$A$49,0),MATCH(orders!L$1,products!$A$1:$G$1,0))</f>
        <v>5.97</v>
      </c>
      <c r="M524" s="6">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cm="1">
        <f t="array" ref="F525">_xlfn.XLOOKUP(C525,customers!A$1:$A$1001,customers!$B$1:$B$1001,0)</f>
        <v>Berty Beelby</v>
      </c>
      <c r="G525" s="2" t="str">
        <f>IF(_xlfn.XLOOKUP(C525,customers!$A$1:$A$1001,customers!$C$1:$C$1001,0)=0,"",_xlfn.XLOOKUP(C525,customers!$A$1:$A$1001,customers!$C$1:$C$1001))</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6">
        <f>INDEX(products!$A$1:$G$49,MATCH(orders!$D525,products!$A$1:$A$49,0),MATCH(orders!L$1,products!$A$1:$G$1,0))</f>
        <v>29.784999999999997</v>
      </c>
      <c r="M525" s="6">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cm="1">
        <f t="array" ref="F526">_xlfn.XLOOKUP(C526,customers!A$1:$A$1001,customers!$B$1:$B$1001,0)</f>
        <v>Erny Stenyng</v>
      </c>
      <c r="G526" s="2" t="str">
        <f>IF(_xlfn.XLOOKUP(C526,customers!$A$1:$A$1001,customers!$C$1:$C$1001,0)=0,"",_xlfn.XLOOKUP(C526,customers!$A$1:$A$1001,customers!$C$1:$C$1001))</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6">
        <f>INDEX(products!$A$1:$G$49,MATCH(orders!$D526,products!$A$1:$A$49,0),MATCH(orders!L$1,products!$A$1:$G$1,0))</f>
        <v>36.454999999999998</v>
      </c>
      <c r="M526" s="6">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cm="1">
        <f t="array" ref="F527">_xlfn.XLOOKUP(C527,customers!A$1:$A$1001,customers!$B$1:$B$1001,0)</f>
        <v>Edin Yantsurev</v>
      </c>
      <c r="G527" s="2" t="str">
        <f>IF(_xlfn.XLOOKUP(C527,customers!$A$1:$A$1001,customers!$C$1:$C$1001,0)=0,"",_xlfn.XLOOKUP(C527,customers!$A$1:$A$1001,customers!$C$1:$C$1001))</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6">
        <f>INDEX(products!$A$1:$G$49,MATCH(orders!$D527,products!$A$1:$A$49,0),MATCH(orders!L$1,products!$A$1:$G$1,0))</f>
        <v>2.6849999999999996</v>
      </c>
      <c r="M527" s="6">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cm="1">
        <f t="array" ref="F528">_xlfn.XLOOKUP(C528,customers!A$1:$A$1001,customers!$B$1:$B$1001,0)</f>
        <v>Webb Speechly</v>
      </c>
      <c r="G528" s="2" t="str">
        <f>IF(_xlfn.XLOOKUP(C528,customers!$A$1:$A$1001,customers!$C$1:$C$1001,0)=0,"",_xlfn.XLOOKUP(C528,customers!$A$1:$A$1001,customers!$C$1:$C$1001))</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6">
        <f>INDEX(products!$A$1:$G$49,MATCH(orders!$D528,products!$A$1:$A$49,0),MATCH(orders!L$1,products!$A$1:$G$1,0))</f>
        <v>31.624999999999996</v>
      </c>
      <c r="M528" s="6">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cm="1">
        <f t="array" ref="F529">_xlfn.XLOOKUP(C529,customers!A$1:$A$1001,customers!$B$1:$B$1001,0)</f>
        <v>Irvine Phillpot</v>
      </c>
      <c r="G529" s="2" t="str">
        <f>IF(_xlfn.XLOOKUP(C529,customers!$A$1:$A$1001,customers!$C$1:$C$1001,0)=0,"",_xlfn.XLOOKUP(C529,customers!$A$1:$A$1001,customers!$C$1:$C$1001))</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6">
        <f>INDEX(products!$A$1:$G$49,MATCH(orders!$D529,products!$A$1:$A$49,0),MATCH(orders!L$1,products!$A$1:$G$1,0))</f>
        <v>8.25</v>
      </c>
      <c r="M529" s="6">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cm="1">
        <f t="array" ref="F530">_xlfn.XLOOKUP(C530,customers!A$1:$A$1001,customers!$B$1:$B$1001,0)</f>
        <v>Lem Pennacci</v>
      </c>
      <c r="G530" s="2" t="str">
        <f>IF(_xlfn.XLOOKUP(C530,customers!$A$1:$A$1001,customers!$C$1:$C$1001,0)=0,"",_xlfn.XLOOKUP(C530,customers!$A$1:$A$1001,customers!$C$1:$C$1001))</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6">
        <f>INDEX(products!$A$1:$G$49,MATCH(orders!$D530,products!$A$1:$A$49,0),MATCH(orders!L$1,products!$A$1:$G$1,0))</f>
        <v>8.91</v>
      </c>
      <c r="M530" s="6">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cm="1">
        <f t="array" ref="F531">_xlfn.XLOOKUP(C531,customers!A$1:$A$1001,customers!$B$1:$B$1001,0)</f>
        <v>Starr Arpin</v>
      </c>
      <c r="G531" s="2" t="str">
        <f>IF(_xlfn.XLOOKUP(C531,customers!$A$1:$A$1001,customers!$C$1:$C$1001,0)=0,"",_xlfn.XLOOKUP(C531,customers!$A$1:$A$1001,customers!$C$1:$C$1001))</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6">
        <f>INDEX(products!$A$1:$G$49,MATCH(orders!$D531,products!$A$1:$A$49,0),MATCH(orders!L$1,products!$A$1:$G$1,0))</f>
        <v>9.9499999999999993</v>
      </c>
      <c r="M531" s="6">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cm="1">
        <f t="array" ref="F532">_xlfn.XLOOKUP(C532,customers!A$1:$A$1001,customers!$B$1:$B$1001,0)</f>
        <v>Donny Fries</v>
      </c>
      <c r="G532" s="2" t="str">
        <f>IF(_xlfn.XLOOKUP(C532,customers!$A$1:$A$1001,customers!$C$1:$C$1001,0)=0,"",_xlfn.XLOOKUP(C532,customers!$A$1:$A$1001,customers!$C$1:$C$1001))</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6">
        <f>INDEX(products!$A$1:$G$49,MATCH(orders!$D532,products!$A$1:$A$49,0),MATCH(orders!L$1,products!$A$1:$G$1,0))</f>
        <v>9.9499999999999993</v>
      </c>
      <c r="M532" s="6">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cm="1">
        <f t="array" ref="F533">_xlfn.XLOOKUP(C533,customers!A$1:$A$1001,customers!$B$1:$B$1001,0)</f>
        <v>Rana Sharer</v>
      </c>
      <c r="G533" s="2" t="str">
        <f>IF(_xlfn.XLOOKUP(C533,customers!$A$1:$A$1001,customers!$C$1:$C$1001,0)=0,"",_xlfn.XLOOKUP(C533,customers!$A$1:$A$1001,customers!$C$1:$C$1001))</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6">
        <f>INDEX(products!$A$1:$G$49,MATCH(orders!$D533,products!$A$1:$A$49,0),MATCH(orders!L$1,products!$A$1:$G$1,0))</f>
        <v>8.9499999999999993</v>
      </c>
      <c r="M533" s="6">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cm="1">
        <f t="array" ref="F534">_xlfn.XLOOKUP(C534,customers!A$1:$A$1001,customers!$B$1:$B$1001,0)</f>
        <v>Nannie Naseby</v>
      </c>
      <c r="G534" s="2" t="str">
        <f>IF(_xlfn.XLOOKUP(C534,customers!$A$1:$A$1001,customers!$C$1:$C$1001,0)=0,"",_xlfn.XLOOKUP(C534,customers!$A$1:$A$1001,customers!$C$1:$C$1001))</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6">
        <f>INDEX(products!$A$1:$G$49,MATCH(orders!$D534,products!$A$1:$A$49,0),MATCH(orders!L$1,products!$A$1:$G$1,0))</f>
        <v>8.25</v>
      </c>
      <c r="M534" s="6">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cm="1">
        <f t="array" ref="F535">_xlfn.XLOOKUP(C535,customers!A$1:$A$1001,customers!$B$1:$B$1001,0)</f>
        <v>Rea Offell</v>
      </c>
      <c r="G535" s="2" t="str">
        <f>IF(_xlfn.XLOOKUP(C535,customers!$A$1:$A$1001,customers!$C$1:$C$1001,0)=0,"",_xlfn.XLOOKUP(C535,customers!$A$1:$A$1001,customers!$C$1:$C$1001))</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6">
        <f>INDEX(products!$A$1:$G$49,MATCH(orders!$D535,products!$A$1:$A$49,0),MATCH(orders!L$1,products!$A$1:$G$1,0))</f>
        <v>5.3699999999999992</v>
      </c>
      <c r="M535" s="6">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cm="1">
        <f t="array" ref="F536">_xlfn.XLOOKUP(C536,customers!A$1:$A$1001,customers!$B$1:$B$1001,0)</f>
        <v>Kris O'Cullen</v>
      </c>
      <c r="G536" s="2" t="str">
        <f>IF(_xlfn.XLOOKUP(C536,customers!$A$1:$A$1001,customers!$C$1:$C$1001,0)=0,"",_xlfn.XLOOKUP(C536,customers!$A$1:$A$1001,customers!$C$1:$C$1001))</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6">
        <f>INDEX(products!$A$1:$G$49,MATCH(orders!$D536,products!$A$1:$A$49,0),MATCH(orders!L$1,products!$A$1:$G$1,0))</f>
        <v>22.884999999999998</v>
      </c>
      <c r="M536" s="6">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cm="1">
        <f t="array" ref="F537">_xlfn.XLOOKUP(C537,customers!A$1:$A$1001,customers!$B$1:$B$1001,0)</f>
        <v>Timoteo Glisane</v>
      </c>
      <c r="G537" s="2" t="str">
        <f>IF(_xlfn.XLOOKUP(C537,customers!$A$1:$A$1001,customers!$C$1:$C$1001,0)=0,"",_xlfn.XLOOKUP(C537,customers!$A$1:$A$1001,customers!$C$1:$C$1001))</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6">
        <f>INDEX(products!$A$1:$G$49,MATCH(orders!$D537,products!$A$1:$A$49,0),MATCH(orders!L$1,products!$A$1:$G$1,0))</f>
        <v>4.7549999999999999</v>
      </c>
      <c r="M537" s="6">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cm="1">
        <f t="array" ref="F538">_xlfn.XLOOKUP(C538,customers!A$1:$A$1001,customers!$B$1:$B$1001,0)</f>
        <v>Marja Urion</v>
      </c>
      <c r="G538" s="2" t="str">
        <f>IF(_xlfn.XLOOKUP(C538,customers!$A$1:$A$1001,customers!$C$1:$C$1001,0)=0,"",_xlfn.XLOOKUP(C538,customers!$A$1:$A$1001,customers!$C$1:$C$1001))</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6">
        <f>INDEX(products!$A$1:$G$49,MATCH(orders!$D538,products!$A$1:$A$49,0),MATCH(orders!L$1,products!$A$1:$G$1,0))</f>
        <v>2.6849999999999996</v>
      </c>
      <c r="M538" s="6">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cm="1">
        <f t="array" ref="F539">_xlfn.XLOOKUP(C539,customers!A$1:$A$1001,customers!$B$1:$B$1001,0)</f>
        <v>Hildegarde Brangan</v>
      </c>
      <c r="G539" s="2" t="str">
        <f>IF(_xlfn.XLOOKUP(C539,customers!$A$1:$A$1001,customers!$C$1:$C$1001,0)=0,"",_xlfn.XLOOKUP(C539,customers!$A$1:$A$1001,customers!$C$1:$C$1001))</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6">
        <f>INDEX(products!$A$1:$G$49,MATCH(orders!$D539,products!$A$1:$A$49,0),MATCH(orders!L$1,products!$A$1:$G$1,0))</f>
        <v>27.945</v>
      </c>
      <c r="M539" s="6">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cm="1">
        <f t="array" ref="F540">_xlfn.XLOOKUP(C540,customers!A$1:$A$1001,customers!$B$1:$B$1001,0)</f>
        <v>Amii Gallyon</v>
      </c>
      <c r="G540" s="2" t="str">
        <f>IF(_xlfn.XLOOKUP(C540,customers!$A$1:$A$1001,customers!$C$1:$C$1001,0)=0,"",_xlfn.XLOOKUP(C540,customers!$A$1:$A$1001,customers!$C$1:$C$1001))</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6">
        <f>INDEX(products!$A$1:$G$49,MATCH(orders!$D540,products!$A$1:$A$49,0),MATCH(orders!L$1,products!$A$1:$G$1,0))</f>
        <v>2.6849999999999996</v>
      </c>
      <c r="M540" s="6">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cm="1">
        <f t="array" ref="F541">_xlfn.XLOOKUP(C541,customers!A$1:$A$1001,customers!$B$1:$B$1001,0)</f>
        <v>Birgit Domange</v>
      </c>
      <c r="G541" s="2" t="str">
        <f>IF(_xlfn.XLOOKUP(C541,customers!$A$1:$A$1001,customers!$C$1:$C$1001,0)=0,"",_xlfn.XLOOKUP(C541,customers!$A$1:$A$1001,customers!$C$1:$C$1001))</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6">
        <f>INDEX(products!$A$1:$G$49,MATCH(orders!$D541,products!$A$1:$A$49,0),MATCH(orders!L$1,products!$A$1:$G$1,0))</f>
        <v>5.3699999999999992</v>
      </c>
      <c r="M541" s="6">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cm="1">
        <f t="array" ref="F542">_xlfn.XLOOKUP(C542,customers!A$1:$A$1001,customers!$B$1:$B$1001,0)</f>
        <v>Killian Osler</v>
      </c>
      <c r="G542" s="2" t="str">
        <f>IF(_xlfn.XLOOKUP(C542,customers!$A$1:$A$1001,customers!$C$1:$C$1001,0)=0,"",_xlfn.XLOOKUP(C542,customers!$A$1:$A$1001,customers!$C$1:$C$1001))</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6">
        <f>INDEX(products!$A$1:$G$49,MATCH(orders!$D542,products!$A$1:$A$49,0),MATCH(orders!L$1,products!$A$1:$G$1,0))</f>
        <v>15.85</v>
      </c>
      <c r="M542" s="6">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cm="1">
        <f t="array" ref="F543">_xlfn.XLOOKUP(C543,customers!A$1:$A$1001,customers!$B$1:$B$1001,0)</f>
        <v>Lora Dukes</v>
      </c>
      <c r="G543" s="2" t="str">
        <f>IF(_xlfn.XLOOKUP(C543,customers!$A$1:$A$1001,customers!$C$1:$C$1001,0)=0,"",_xlfn.XLOOKUP(C543,customers!$A$1:$A$1001,customers!$C$1:$C$1001))</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6">
        <f>INDEX(products!$A$1:$G$49,MATCH(orders!$D543,products!$A$1:$A$49,0),MATCH(orders!L$1,products!$A$1:$G$1,0))</f>
        <v>22.884999999999998</v>
      </c>
      <c r="M543" s="6">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cm="1">
        <f t="array" ref="F544">_xlfn.XLOOKUP(C544,customers!A$1:$A$1001,customers!$B$1:$B$1001,0)</f>
        <v>Zack Pellett</v>
      </c>
      <c r="G544" s="2" t="str">
        <f>IF(_xlfn.XLOOKUP(C544,customers!$A$1:$A$1001,customers!$C$1:$C$1001,0)=0,"",_xlfn.XLOOKUP(C544,customers!$A$1:$A$1001,customers!$C$1:$C$1001))</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6">
        <f>INDEX(products!$A$1:$G$49,MATCH(orders!$D544,products!$A$1:$A$49,0),MATCH(orders!L$1,products!$A$1:$G$1,0))</f>
        <v>25.874999999999996</v>
      </c>
      <c r="M544" s="6">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cm="1">
        <f t="array" ref="F545">_xlfn.XLOOKUP(C545,customers!A$1:$A$1001,customers!$B$1:$B$1001,0)</f>
        <v>Ilaire Sprakes</v>
      </c>
      <c r="G545" s="2" t="str">
        <f>IF(_xlfn.XLOOKUP(C545,customers!$A$1:$A$1001,customers!$C$1:$C$1001,0)=0,"",_xlfn.XLOOKUP(C545,customers!$A$1:$A$1001,customers!$C$1:$C$1001))</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6">
        <f>INDEX(products!$A$1:$G$49,MATCH(orders!$D545,products!$A$1:$A$49,0),MATCH(orders!L$1,products!$A$1:$G$1,0))</f>
        <v>27.484999999999996</v>
      </c>
      <c r="M545" s="6">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cm="1">
        <f t="array" ref="F546">_xlfn.XLOOKUP(C546,customers!A$1:$A$1001,customers!$B$1:$B$1001,0)</f>
        <v>Heda Fromant</v>
      </c>
      <c r="G546" s="2" t="str">
        <f>IF(_xlfn.XLOOKUP(C546,customers!$A$1:$A$1001,customers!$C$1:$C$1001,0)=0,"",_xlfn.XLOOKUP(C546,customers!$A$1:$A$1001,customers!$C$1:$C$1001))</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6">
        <f>INDEX(products!$A$1:$G$49,MATCH(orders!$D546,products!$A$1:$A$49,0),MATCH(orders!L$1,products!$A$1:$G$1,0))</f>
        <v>7.77</v>
      </c>
      <c r="M546" s="6">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cm="1">
        <f t="array" ref="F547">_xlfn.XLOOKUP(C547,customers!A$1:$A$1001,customers!$B$1:$B$1001,0)</f>
        <v>Rufus Flear</v>
      </c>
      <c r="G547" s="2" t="str">
        <f>IF(_xlfn.XLOOKUP(C547,customers!$A$1:$A$1001,customers!$C$1:$C$1001,0)=0,"",_xlfn.XLOOKUP(C547,customers!$A$1:$A$1001,customers!$C$1:$C$1001))</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6">
        <f>INDEX(products!$A$1:$G$49,MATCH(orders!$D547,products!$A$1:$A$49,0),MATCH(orders!L$1,products!$A$1:$G$1,0))</f>
        <v>3.8849999999999998</v>
      </c>
      <c r="M547" s="6">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cm="1">
        <f t="array" ref="F548">_xlfn.XLOOKUP(C548,customers!A$1:$A$1001,customers!$B$1:$B$1001,0)</f>
        <v>Dom Milella</v>
      </c>
      <c r="G548" s="2" t="str">
        <f>IF(_xlfn.XLOOKUP(C548,customers!$A$1:$A$1001,customers!$C$1:$C$1001,0)=0,"",_xlfn.XLOOKUP(C548,customers!$A$1:$A$1001,customers!$C$1:$C$1001))</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6">
        <f>INDEX(products!$A$1:$G$49,MATCH(orders!$D548,products!$A$1:$A$49,0),MATCH(orders!L$1,products!$A$1:$G$1,0))</f>
        <v>27.945</v>
      </c>
      <c r="M548" s="6">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cm="1">
        <f t="array" ref="F549">_xlfn.XLOOKUP(C549,customers!A$1:$A$1001,customers!$B$1:$B$1001,0)</f>
        <v>Wilek Lightollers</v>
      </c>
      <c r="G549" s="2" t="str">
        <f>IF(_xlfn.XLOOKUP(C549,customers!$A$1:$A$1001,customers!$C$1:$C$1001,0)=0,"",_xlfn.XLOOKUP(C549,customers!$A$1:$A$1001,customers!$C$1:$C$1001))</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6">
        <f>INDEX(products!$A$1:$G$49,MATCH(orders!$D549,products!$A$1:$A$49,0),MATCH(orders!L$1,products!$A$1:$G$1,0))</f>
        <v>3.5849999999999995</v>
      </c>
      <c r="M549" s="6">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cm="1">
        <f t="array" ref="F550">_xlfn.XLOOKUP(C550,customers!A$1:$A$1001,customers!$B$1:$B$1001,0)</f>
        <v>Bette-ann Munden</v>
      </c>
      <c r="G550" s="2" t="str">
        <f>IF(_xlfn.XLOOKUP(C550,customers!$A$1:$A$1001,customers!$C$1:$C$1001,0)=0,"",_xlfn.XLOOKUP(C550,customers!$A$1:$A$1001,customers!$C$1:$C$1001))</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6">
        <f>INDEX(products!$A$1:$G$49,MATCH(orders!$D550,products!$A$1:$A$49,0),MATCH(orders!L$1,products!$A$1:$G$1,0))</f>
        <v>4.4550000000000001</v>
      </c>
      <c r="M550" s="6">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cm="1">
        <f t="array" ref="F551">_xlfn.XLOOKUP(C551,customers!A$1:$A$1001,customers!$B$1:$B$1001,0)</f>
        <v>Wilek Lightollers</v>
      </c>
      <c r="G551" s="2" t="str">
        <f>IF(_xlfn.XLOOKUP(C551,customers!$A$1:$A$1001,customers!$C$1:$C$1001,0)=0,"",_xlfn.XLOOKUP(C551,customers!$A$1:$A$1001,customers!$C$1:$C$1001))</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6">
        <f>INDEX(products!$A$1:$G$49,MATCH(orders!$D551,products!$A$1:$A$49,0),MATCH(orders!L$1,products!$A$1:$G$1,0))</f>
        <v>4.4550000000000001</v>
      </c>
      <c r="M551" s="6">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cm="1">
        <f t="array" ref="F552">_xlfn.XLOOKUP(C552,customers!A$1:$A$1001,customers!$B$1:$B$1001,0)</f>
        <v>Nick Brakespear</v>
      </c>
      <c r="G552" s="2" t="str">
        <f>IF(_xlfn.XLOOKUP(C552,customers!$A$1:$A$1001,customers!$C$1:$C$1001,0)=0,"",_xlfn.XLOOKUP(C552,customers!$A$1:$A$1001,customers!$C$1:$C$1001))</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6">
        <f>INDEX(products!$A$1:$G$49,MATCH(orders!$D552,products!$A$1:$A$49,0),MATCH(orders!L$1,products!$A$1:$G$1,0))</f>
        <v>3.8849999999999998</v>
      </c>
      <c r="M552" s="6">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cm="1">
        <f t="array" ref="F553">_xlfn.XLOOKUP(C553,customers!A$1:$A$1001,customers!$B$1:$B$1001,0)</f>
        <v>Malynda Glawsop</v>
      </c>
      <c r="G553" s="2" t="str">
        <f>IF(_xlfn.XLOOKUP(C553,customers!$A$1:$A$1001,customers!$C$1:$C$1001,0)=0,"",_xlfn.XLOOKUP(C553,customers!$A$1:$A$1001,customers!$C$1:$C$1001))</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6">
        <f>INDEX(products!$A$1:$G$49,MATCH(orders!$D553,products!$A$1:$A$49,0),MATCH(orders!L$1,products!$A$1:$G$1,0))</f>
        <v>3.645</v>
      </c>
      <c r="M553" s="6">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cm="1">
        <f t="array" ref="F554">_xlfn.XLOOKUP(C554,customers!A$1:$A$1001,customers!$B$1:$B$1001,0)</f>
        <v>Granville Alberts</v>
      </c>
      <c r="G554" s="2" t="str">
        <f>IF(_xlfn.XLOOKUP(C554,customers!$A$1:$A$1001,customers!$C$1:$C$1001,0)=0,"",_xlfn.XLOOKUP(C554,customers!$A$1:$A$1001,customers!$C$1:$C$1001))</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6">
        <f>INDEX(products!$A$1:$G$49,MATCH(orders!$D554,products!$A$1:$A$49,0),MATCH(orders!L$1,products!$A$1:$G$1,0))</f>
        <v>4.4550000000000001</v>
      </c>
      <c r="M554" s="6">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cm="1">
        <f t="array" ref="F555">_xlfn.XLOOKUP(C555,customers!A$1:$A$1001,customers!$B$1:$B$1001,0)</f>
        <v>Vasily Polglase</v>
      </c>
      <c r="G555" s="2" t="str">
        <f>IF(_xlfn.XLOOKUP(C555,customers!$A$1:$A$1001,customers!$C$1:$C$1001,0)=0,"",_xlfn.XLOOKUP(C555,customers!$A$1:$A$1001,customers!$C$1:$C$1001))</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6">
        <f>INDEX(products!$A$1:$G$49,MATCH(orders!$D555,products!$A$1:$A$49,0),MATCH(orders!L$1,products!$A$1:$G$1,0))</f>
        <v>13.75</v>
      </c>
      <c r="M555" s="6">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cm="1">
        <f t="array" ref="F556">_xlfn.XLOOKUP(C556,customers!A$1:$A$1001,customers!$B$1:$B$1001,0)</f>
        <v>Madelaine Sharples</v>
      </c>
      <c r="G556" s="2" t="str">
        <f>IF(_xlfn.XLOOKUP(C556,customers!$A$1:$A$1001,customers!$C$1:$C$1001,0)=0,"",_xlfn.XLOOKUP(C556,customers!$A$1:$A$1001,customers!$C$1:$C$1001))</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6">
        <f>INDEX(products!$A$1:$G$49,MATCH(orders!$D556,products!$A$1:$A$49,0),MATCH(orders!L$1,products!$A$1:$G$1,0))</f>
        <v>27.484999999999996</v>
      </c>
      <c r="M556" s="6">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cm="1">
        <f t="array" ref="F557">_xlfn.XLOOKUP(C557,customers!A$1:$A$1001,customers!$B$1:$B$1001,0)</f>
        <v>Sigfrid Busch</v>
      </c>
      <c r="G557" s="2" t="str">
        <f>IF(_xlfn.XLOOKUP(C557,customers!$A$1:$A$1001,customers!$C$1:$C$1001,0)=0,"",_xlfn.XLOOKUP(C557,customers!$A$1:$A$1001,customers!$C$1:$C$1001))</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6">
        <f>INDEX(products!$A$1:$G$49,MATCH(orders!$D557,products!$A$1:$A$49,0),MATCH(orders!L$1,products!$A$1:$G$1,0))</f>
        <v>13.75</v>
      </c>
      <c r="M557" s="6">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cm="1">
        <f t="array" ref="F558">_xlfn.XLOOKUP(C558,customers!A$1:$A$1001,customers!$B$1:$B$1001,0)</f>
        <v>Cissiee Raisbeck</v>
      </c>
      <c r="G558" s="2" t="str">
        <f>IF(_xlfn.XLOOKUP(C558,customers!$A$1:$A$1001,customers!$C$1:$C$1001,0)=0,"",_xlfn.XLOOKUP(C558,customers!$A$1:$A$1001,customers!$C$1:$C$1001))</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6">
        <f>INDEX(products!$A$1:$G$49,MATCH(orders!$D558,products!$A$1:$A$49,0),MATCH(orders!L$1,products!$A$1:$G$1,0))</f>
        <v>4.3650000000000002</v>
      </c>
      <c r="M558" s="6">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cm="1">
        <f t="array" ref="F559">_xlfn.XLOOKUP(C559,customers!A$1:$A$1001,customers!$B$1:$B$1001,0)</f>
        <v>Marja Urion</v>
      </c>
      <c r="G559" s="2" t="str">
        <f>IF(_xlfn.XLOOKUP(C559,customers!$A$1:$A$1001,customers!$C$1:$C$1001,0)=0,"",_xlfn.XLOOKUP(C559,customers!$A$1:$A$1001,customers!$C$1:$C$1001))</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6">
        <f>INDEX(products!$A$1:$G$49,MATCH(orders!$D559,products!$A$1:$A$49,0),MATCH(orders!L$1,products!$A$1:$G$1,0))</f>
        <v>14.85</v>
      </c>
      <c r="M559" s="6">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cm="1">
        <f t="array" ref="F560">_xlfn.XLOOKUP(C560,customers!A$1:$A$1001,customers!$B$1:$B$1001,0)</f>
        <v>Kenton Wetherick</v>
      </c>
      <c r="G560" s="2" t="str">
        <f>IF(_xlfn.XLOOKUP(C560,customers!$A$1:$A$1001,customers!$C$1:$C$1001,0)=0,"",_xlfn.XLOOKUP(C560,customers!$A$1:$A$1001,customers!$C$1:$C$1001))</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6">
        <f>INDEX(products!$A$1:$G$49,MATCH(orders!$D560,products!$A$1:$A$49,0),MATCH(orders!L$1,products!$A$1:$G$1,0))</f>
        <v>3.8849999999999998</v>
      </c>
      <c r="M560" s="6">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cm="1">
        <f t="array" ref="F561">_xlfn.XLOOKUP(C561,customers!A$1:$A$1001,customers!$B$1:$B$1001,0)</f>
        <v>Reamonn Aynold</v>
      </c>
      <c r="G561" s="2" t="str">
        <f>IF(_xlfn.XLOOKUP(C561,customers!$A$1:$A$1001,customers!$C$1:$C$1001,0)=0,"",_xlfn.XLOOKUP(C561,customers!$A$1:$A$1001,customers!$C$1:$C$1001))</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6">
        <f>INDEX(products!$A$1:$G$49,MATCH(orders!$D561,products!$A$1:$A$49,0),MATCH(orders!L$1,products!$A$1:$G$1,0))</f>
        <v>12.95</v>
      </c>
      <c r="M561" s="6">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cm="1">
        <f t="array" ref="F562">_xlfn.XLOOKUP(C562,customers!A$1:$A$1001,customers!$B$1:$B$1001,0)</f>
        <v>Hatty Dovydenas</v>
      </c>
      <c r="G562" s="2" t="str">
        <f>IF(_xlfn.XLOOKUP(C562,customers!$A$1:$A$1001,customers!$C$1:$C$1001,0)=0,"",_xlfn.XLOOKUP(C562,customers!$A$1:$A$1001,customers!$C$1:$C$1001))</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6">
        <f>INDEX(products!$A$1:$G$49,MATCH(orders!$D562,products!$A$1:$A$49,0),MATCH(orders!L$1,products!$A$1:$G$1,0))</f>
        <v>31.624999999999996</v>
      </c>
      <c r="M562" s="6">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cm="1">
        <f t="array" ref="F563">_xlfn.XLOOKUP(C563,customers!A$1:$A$1001,customers!$B$1:$B$1001,0)</f>
        <v>Nathaniel Bloxland</v>
      </c>
      <c r="G563" s="2" t="str">
        <f>IF(_xlfn.XLOOKUP(C563,customers!$A$1:$A$1001,customers!$C$1:$C$1001,0)=0,"",_xlfn.XLOOKUP(C563,customers!$A$1:$A$1001,customers!$C$1:$C$1001))</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6">
        <f>INDEX(products!$A$1:$G$49,MATCH(orders!$D563,products!$A$1:$A$49,0),MATCH(orders!L$1,products!$A$1:$G$1,0))</f>
        <v>2.9849999999999999</v>
      </c>
      <c r="M563" s="6">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cm="1">
        <f t="array" ref="F564">_xlfn.XLOOKUP(C564,customers!A$1:$A$1001,customers!$B$1:$B$1001,0)</f>
        <v>Brendan Grece</v>
      </c>
      <c r="G564" s="2" t="str">
        <f>IF(_xlfn.XLOOKUP(C564,customers!$A$1:$A$1001,customers!$C$1:$C$1001,0)=0,"",_xlfn.XLOOKUP(C564,customers!$A$1:$A$1001,customers!$C$1:$C$1001))</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6">
        <f>INDEX(products!$A$1:$G$49,MATCH(orders!$D564,products!$A$1:$A$49,0),MATCH(orders!L$1,products!$A$1:$G$1,0))</f>
        <v>4.7549999999999999</v>
      </c>
      <c r="M564" s="6">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cm="1">
        <f t="array" ref="F565">_xlfn.XLOOKUP(C565,customers!A$1:$A$1001,customers!$B$1:$B$1001,0)</f>
        <v>Don Flintiff</v>
      </c>
      <c r="G565" s="2" t="str">
        <f>IF(_xlfn.XLOOKUP(C565,customers!$A$1:$A$1001,customers!$C$1:$C$1001,0)=0,"",_xlfn.XLOOKUP(C565,customers!$A$1:$A$1001,customers!$C$1:$C$1001))</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6">
        <f>INDEX(products!$A$1:$G$49,MATCH(orders!$D565,products!$A$1:$A$49,0),MATCH(orders!L$1,products!$A$1:$G$1,0))</f>
        <v>13.75</v>
      </c>
      <c r="M565" s="6">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cm="1">
        <f t="array" ref="F566">_xlfn.XLOOKUP(C566,customers!A$1:$A$1001,customers!$B$1:$B$1001,0)</f>
        <v>Abbe Thys</v>
      </c>
      <c r="G566" s="2" t="str">
        <f>IF(_xlfn.XLOOKUP(C566,customers!$A$1:$A$1001,customers!$C$1:$C$1001,0)=0,"",_xlfn.XLOOKUP(C566,customers!$A$1:$A$1001,customers!$C$1:$C$1001))</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6">
        <f>INDEX(products!$A$1:$G$49,MATCH(orders!$D566,products!$A$1:$A$49,0),MATCH(orders!L$1,products!$A$1:$G$1,0))</f>
        <v>7.169999999999999</v>
      </c>
      <c r="M566" s="6">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cm="1">
        <f t="array" ref="F567">_xlfn.XLOOKUP(C567,customers!A$1:$A$1001,customers!$B$1:$B$1001,0)</f>
        <v>Jackquelin Chugg</v>
      </c>
      <c r="G567" s="2" t="str">
        <f>IF(_xlfn.XLOOKUP(C567,customers!$A$1:$A$1001,customers!$C$1:$C$1001,0)=0,"",_xlfn.XLOOKUP(C567,customers!$A$1:$A$1001,customers!$C$1:$C$1001))</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6">
        <f>INDEX(products!$A$1:$G$49,MATCH(orders!$D567,products!$A$1:$A$49,0),MATCH(orders!L$1,products!$A$1:$G$1,0))</f>
        <v>20.584999999999997</v>
      </c>
      <c r="M567" s="6">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cm="1">
        <f t="array" ref="F568">_xlfn.XLOOKUP(C568,customers!A$1:$A$1001,customers!$B$1:$B$1001,0)</f>
        <v>Audra Kelston</v>
      </c>
      <c r="G568" s="2" t="str">
        <f>IF(_xlfn.XLOOKUP(C568,customers!$A$1:$A$1001,customers!$C$1:$C$1001,0)=0,"",_xlfn.XLOOKUP(C568,customers!$A$1:$A$1001,customers!$C$1:$C$1001))</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6">
        <f>INDEX(products!$A$1:$G$49,MATCH(orders!$D568,products!$A$1:$A$49,0),MATCH(orders!L$1,products!$A$1:$G$1,0))</f>
        <v>3.375</v>
      </c>
      <c r="M568" s="6">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cm="1">
        <f t="array" ref="F569">_xlfn.XLOOKUP(C569,customers!A$1:$A$1001,customers!$B$1:$B$1001,0)</f>
        <v>Elvina Angel</v>
      </c>
      <c r="G569" s="2" t="str">
        <f>IF(_xlfn.XLOOKUP(C569,customers!$A$1:$A$1001,customers!$C$1:$C$1001,0)=0,"",_xlfn.XLOOKUP(C569,customers!$A$1:$A$1001,customers!$C$1:$C$1001))</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6">
        <f>INDEX(products!$A$1:$G$49,MATCH(orders!$D569,products!$A$1:$A$49,0),MATCH(orders!L$1,products!$A$1:$G$1,0))</f>
        <v>27.484999999999996</v>
      </c>
      <c r="M569" s="6">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cm="1">
        <f t="array" ref="F570">_xlfn.XLOOKUP(C570,customers!A$1:$A$1001,customers!$B$1:$B$1001,0)</f>
        <v>Claiborne Mottram</v>
      </c>
      <c r="G570" s="2" t="str">
        <f>IF(_xlfn.XLOOKUP(C570,customers!$A$1:$A$1001,customers!$C$1:$C$1001,0)=0,"",_xlfn.XLOOKUP(C570,customers!$A$1:$A$1001,customers!$C$1:$C$1001))</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6">
        <f>INDEX(products!$A$1:$G$49,MATCH(orders!$D570,products!$A$1:$A$49,0),MATCH(orders!L$1,products!$A$1:$G$1,0))</f>
        <v>4.7549999999999999</v>
      </c>
      <c r="M570" s="6">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cm="1">
        <f t="array" ref="F571">_xlfn.XLOOKUP(C571,customers!A$1:$A$1001,customers!$B$1:$B$1001,0)</f>
        <v>Don Flintiff</v>
      </c>
      <c r="G571" s="2" t="str">
        <f>IF(_xlfn.XLOOKUP(C571,customers!$A$1:$A$1001,customers!$C$1:$C$1001,0)=0,"",_xlfn.XLOOKUP(C571,customers!$A$1:$A$1001,customers!$C$1:$C$1001))</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6">
        <f>INDEX(products!$A$1:$G$49,MATCH(orders!$D571,products!$A$1:$A$49,0),MATCH(orders!L$1,products!$A$1:$G$1,0))</f>
        <v>22.884999999999998</v>
      </c>
      <c r="M571" s="6">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cm="1">
        <f t="array" ref="F572">_xlfn.XLOOKUP(C572,customers!A$1:$A$1001,customers!$B$1:$B$1001,0)</f>
        <v>Donalt Sangwin</v>
      </c>
      <c r="G572" s="2" t="str">
        <f>IF(_xlfn.XLOOKUP(C572,customers!$A$1:$A$1001,customers!$C$1:$C$1001,0)=0,"",_xlfn.XLOOKUP(C572,customers!$A$1:$A$1001,customers!$C$1:$C$1001))</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6">
        <f>INDEX(products!$A$1:$G$49,MATCH(orders!$D572,products!$A$1:$A$49,0),MATCH(orders!L$1,products!$A$1:$G$1,0))</f>
        <v>6.75</v>
      </c>
      <c r="M572" s="6">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cm="1">
        <f t="array" ref="F573">_xlfn.XLOOKUP(C573,customers!A$1:$A$1001,customers!$B$1:$B$1001,0)</f>
        <v>Elizabet Aizikowitz</v>
      </c>
      <c r="G573" s="2" t="str">
        <f>IF(_xlfn.XLOOKUP(C573,customers!$A$1:$A$1001,customers!$C$1:$C$1001,0)=0,"",_xlfn.XLOOKUP(C573,customers!$A$1:$A$1001,customers!$C$1:$C$1001))</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6">
        <f>INDEX(products!$A$1:$G$49,MATCH(orders!$D573,products!$A$1:$A$49,0),MATCH(orders!L$1,products!$A$1:$G$1,0))</f>
        <v>8.91</v>
      </c>
      <c r="M573" s="6">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cm="1">
        <f t="array" ref="F574">_xlfn.XLOOKUP(C574,customers!A$1:$A$1001,customers!$B$1:$B$1001,0)</f>
        <v>Herbie Peppard</v>
      </c>
      <c r="G574" s="2" t="str">
        <f>IF(_xlfn.XLOOKUP(C574,customers!$A$1:$A$1001,customers!$C$1:$C$1001,0)=0,"",_xlfn.XLOOKUP(C574,customers!$A$1:$A$1001,customers!$C$1:$C$1001))</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6">
        <f>INDEX(products!$A$1:$G$49,MATCH(orders!$D574,products!$A$1:$A$49,0),MATCH(orders!L$1,products!$A$1:$G$1,0))</f>
        <v>2.9849999999999999</v>
      </c>
      <c r="M574" s="6">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cm="1">
        <f t="array" ref="F575">_xlfn.XLOOKUP(C575,customers!A$1:$A$1001,customers!$B$1:$B$1001,0)</f>
        <v>Cornie Venour</v>
      </c>
      <c r="G575" s="2" t="str">
        <f>IF(_xlfn.XLOOKUP(C575,customers!$A$1:$A$1001,customers!$C$1:$C$1001,0)=0,"",_xlfn.XLOOKUP(C575,customers!$A$1:$A$1001,customers!$C$1:$C$1001))</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6">
        <f>INDEX(products!$A$1:$G$49,MATCH(orders!$D575,products!$A$1:$A$49,0),MATCH(orders!L$1,products!$A$1:$G$1,0))</f>
        <v>11.25</v>
      </c>
      <c r="M575" s="6">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cm="1">
        <f t="array" ref="F576">_xlfn.XLOOKUP(C576,customers!A$1:$A$1001,customers!$B$1:$B$1001,0)</f>
        <v>Maggy Harby</v>
      </c>
      <c r="G576" s="2" t="str">
        <f>IF(_xlfn.XLOOKUP(C576,customers!$A$1:$A$1001,customers!$C$1:$C$1001,0)=0,"",_xlfn.XLOOKUP(C576,customers!$A$1:$A$1001,customers!$C$1:$C$1001))</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6">
        <f>INDEX(products!$A$1:$G$49,MATCH(orders!$D576,products!$A$1:$A$49,0),MATCH(orders!L$1,products!$A$1:$G$1,0))</f>
        <v>3.5849999999999995</v>
      </c>
      <c r="M576" s="6">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cm="1">
        <f t="array" ref="F577">_xlfn.XLOOKUP(C577,customers!A$1:$A$1001,customers!$B$1:$B$1001,0)</f>
        <v>Reggie Thickpenny</v>
      </c>
      <c r="G577" s="2" t="str">
        <f>IF(_xlfn.XLOOKUP(C577,customers!$A$1:$A$1001,customers!$C$1:$C$1001,0)=0,"",_xlfn.XLOOKUP(C577,customers!$A$1:$A$1001,customers!$C$1:$C$1001))</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6">
        <f>INDEX(products!$A$1:$G$49,MATCH(orders!$D577,products!$A$1:$A$49,0),MATCH(orders!L$1,products!$A$1:$G$1,0))</f>
        <v>33.464999999999996</v>
      </c>
      <c r="M577" s="6">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cm="1">
        <f t="array" ref="F578">_xlfn.XLOOKUP(C578,customers!A$1:$A$1001,customers!$B$1:$B$1001,0)</f>
        <v>Phyllys Ormerod</v>
      </c>
      <c r="G578" s="2" t="str">
        <f>IF(_xlfn.XLOOKUP(C578,customers!$A$1:$A$1001,customers!$C$1:$C$1001,0)=0,"",_xlfn.XLOOKUP(C578,customers!$A$1:$A$1001,customers!$C$1:$C$1001))</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6">
        <f>INDEX(products!$A$1:$G$49,MATCH(orders!$D578,products!$A$1:$A$49,0),MATCH(orders!L$1,products!$A$1:$G$1,0))</f>
        <v>2.9849999999999999</v>
      </c>
      <c r="M578" s="6">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cm="1">
        <f t="array" ref="F579">_xlfn.XLOOKUP(C579,customers!A$1:$A$1001,customers!$B$1:$B$1001,0)</f>
        <v>Don Flintiff</v>
      </c>
      <c r="G579" s="2" t="str">
        <f>IF(_xlfn.XLOOKUP(C579,customers!$A$1:$A$1001,customers!$C$1:$C$1001,0)=0,"",_xlfn.XLOOKUP(C579,customers!$A$1:$A$1001,customers!$C$1:$C$1001))</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6">
        <f>INDEX(products!$A$1:$G$49,MATCH(orders!$D579,products!$A$1:$A$49,0),MATCH(orders!L$1,products!$A$1:$G$1,0))</f>
        <v>14.55</v>
      </c>
      <c r="M579" s="6">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cm="1">
        <f t="array" ref="F580">_xlfn.XLOOKUP(C580,customers!A$1:$A$1001,customers!$B$1:$B$1001,0)</f>
        <v>Tymon Zanetti</v>
      </c>
      <c r="G580" s="2" t="str">
        <f>IF(_xlfn.XLOOKUP(C580,customers!$A$1:$A$1001,customers!$C$1:$C$1001,0)=0,"",_xlfn.XLOOKUP(C580,customers!$A$1:$A$1001,customers!$C$1:$C$1001))</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6">
        <f>INDEX(products!$A$1:$G$49,MATCH(orders!$D580,products!$A$1:$A$49,0),MATCH(orders!L$1,products!$A$1:$G$1,0))</f>
        <v>4.4550000000000001</v>
      </c>
      <c r="M580" s="6">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cm="1">
        <f t="array" ref="F581">_xlfn.XLOOKUP(C581,customers!A$1:$A$1001,customers!$B$1:$B$1001,0)</f>
        <v>Tymon Zanetti</v>
      </c>
      <c r="G581" s="2" t="str">
        <f>IF(_xlfn.XLOOKUP(C581,customers!$A$1:$A$1001,customers!$C$1:$C$1001,0)=0,"",_xlfn.XLOOKUP(C581,customers!$A$1:$A$1001,customers!$C$1:$C$1001))</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6">
        <f>INDEX(products!$A$1:$G$49,MATCH(orders!$D581,products!$A$1:$A$49,0),MATCH(orders!L$1,products!$A$1:$G$1,0))</f>
        <v>6.75</v>
      </c>
      <c r="M581" s="6">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cm="1">
        <f t="array" ref="F582">_xlfn.XLOOKUP(C582,customers!A$1:$A$1001,customers!$B$1:$B$1001,0)</f>
        <v>Reinaldos Kirtley</v>
      </c>
      <c r="G582" s="2" t="str">
        <f>IF(_xlfn.XLOOKUP(C582,customers!$A$1:$A$1001,customers!$C$1:$C$1001,0)=0,"",_xlfn.XLOOKUP(C582,customers!$A$1:$A$1001,customers!$C$1:$C$1001))</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6">
        <f>INDEX(products!$A$1:$G$49,MATCH(orders!$D582,products!$A$1:$A$49,0),MATCH(orders!L$1,products!$A$1:$G$1,0))</f>
        <v>14.85</v>
      </c>
      <c r="M582" s="6">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cm="1">
        <f t="array" ref="F583">_xlfn.XLOOKUP(C583,customers!A$1:$A$1001,customers!$B$1:$B$1001,0)</f>
        <v>Carney Clemencet</v>
      </c>
      <c r="G583" s="2" t="str">
        <f>IF(_xlfn.XLOOKUP(C583,customers!$A$1:$A$1001,customers!$C$1:$C$1001,0)=0,"",_xlfn.XLOOKUP(C583,customers!$A$1:$A$1001,customers!$C$1:$C$1001))</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6">
        <f>INDEX(products!$A$1:$G$49,MATCH(orders!$D583,products!$A$1:$A$49,0),MATCH(orders!L$1,products!$A$1:$G$1,0))</f>
        <v>8.91</v>
      </c>
      <c r="M583" s="6">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cm="1">
        <f t="array" ref="F584">_xlfn.XLOOKUP(C584,customers!A$1:$A$1001,customers!$B$1:$B$1001,0)</f>
        <v>Russell Donet</v>
      </c>
      <c r="G584" s="2" t="str">
        <f>IF(_xlfn.XLOOKUP(C584,customers!$A$1:$A$1001,customers!$C$1:$C$1001,0)=0,"",_xlfn.XLOOKUP(C584,customers!$A$1:$A$1001,customers!$C$1:$C$1001))</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6">
        <f>INDEX(products!$A$1:$G$49,MATCH(orders!$D584,products!$A$1:$A$49,0),MATCH(orders!L$1,products!$A$1:$G$1,0))</f>
        <v>12.15</v>
      </c>
      <c r="M584" s="6">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cm="1">
        <f t="array" ref="F585">_xlfn.XLOOKUP(C585,customers!A$1:$A$1001,customers!$B$1:$B$1001,0)</f>
        <v>Sidney Gawen</v>
      </c>
      <c r="G585" s="2" t="str">
        <f>IF(_xlfn.XLOOKUP(C585,customers!$A$1:$A$1001,customers!$C$1:$C$1001,0)=0,"",_xlfn.XLOOKUP(C585,customers!$A$1:$A$1001,customers!$C$1:$C$1001))</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6">
        <f>INDEX(products!$A$1:$G$49,MATCH(orders!$D585,products!$A$1:$A$49,0),MATCH(orders!L$1,products!$A$1:$G$1,0))</f>
        <v>3.5849999999999995</v>
      </c>
      <c r="M585" s="6">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cm="1">
        <f t="array" ref="F586">_xlfn.XLOOKUP(C586,customers!A$1:$A$1001,customers!$B$1:$B$1001,0)</f>
        <v>Rickey Readie</v>
      </c>
      <c r="G586" s="2" t="str">
        <f>IF(_xlfn.XLOOKUP(C586,customers!$A$1:$A$1001,customers!$C$1:$C$1001,0)=0,"",_xlfn.XLOOKUP(C586,customers!$A$1:$A$1001,customers!$C$1:$C$1001))</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6">
        <f>INDEX(products!$A$1:$G$49,MATCH(orders!$D586,products!$A$1:$A$49,0),MATCH(orders!L$1,products!$A$1:$G$1,0))</f>
        <v>3.5849999999999995</v>
      </c>
      <c r="M586" s="6">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cm="1">
        <f t="array" ref="F587">_xlfn.XLOOKUP(C587,customers!A$1:$A$1001,customers!$B$1:$B$1001,0)</f>
        <v>Cody Verissimo</v>
      </c>
      <c r="G587" s="2" t="str">
        <f>IF(_xlfn.XLOOKUP(C587,customers!$A$1:$A$1001,customers!$C$1:$C$1001,0)=0,"",_xlfn.XLOOKUP(C587,customers!$A$1:$A$1001,customers!$C$1:$C$1001))</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6">
        <f>INDEX(products!$A$1:$G$49,MATCH(orders!$D587,products!$A$1:$A$49,0),MATCH(orders!L$1,products!$A$1:$G$1,0))</f>
        <v>8.25</v>
      </c>
      <c r="M587" s="6">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cm="1">
        <f t="array" ref="F588">_xlfn.XLOOKUP(C588,customers!A$1:$A$1001,customers!$B$1:$B$1001,0)</f>
        <v>Zilvia Claisse</v>
      </c>
      <c r="G588" s="2" t="str">
        <f>IF(_xlfn.XLOOKUP(C588,customers!$A$1:$A$1001,customers!$C$1:$C$1001,0)=0,"",_xlfn.XLOOKUP(C588,customers!$A$1:$A$1001,customers!$C$1:$C$1001))</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6">
        <f>INDEX(products!$A$1:$G$49,MATCH(orders!$D588,products!$A$1:$A$49,0),MATCH(orders!L$1,products!$A$1:$G$1,0))</f>
        <v>27.484999999999996</v>
      </c>
      <c r="M588" s="6">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cm="1">
        <f t="array" ref="F589">_xlfn.XLOOKUP(C589,customers!A$1:$A$1001,customers!$B$1:$B$1001,0)</f>
        <v>Bar O' Mahony</v>
      </c>
      <c r="G589" s="2" t="str">
        <f>IF(_xlfn.XLOOKUP(C589,customers!$A$1:$A$1001,customers!$C$1:$C$1001,0)=0,"",_xlfn.XLOOKUP(C589,customers!$A$1:$A$1001,customers!$C$1:$C$1001))</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6">
        <f>INDEX(products!$A$1:$G$49,MATCH(orders!$D589,products!$A$1:$A$49,0),MATCH(orders!L$1,products!$A$1:$G$1,0))</f>
        <v>7.77</v>
      </c>
      <c r="M589" s="6">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cm="1">
        <f t="array" ref="F590">_xlfn.XLOOKUP(C590,customers!A$1:$A$1001,customers!$B$1:$B$1001,0)</f>
        <v>Valenka Stansbury</v>
      </c>
      <c r="G590" s="2" t="str">
        <f>IF(_xlfn.XLOOKUP(C590,customers!$A$1:$A$1001,customers!$C$1:$C$1001,0)=0,"",_xlfn.XLOOKUP(C590,customers!$A$1:$A$1001,customers!$C$1:$C$1001))</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6">
        <f>INDEX(products!$A$1:$G$49,MATCH(orders!$D590,products!$A$1:$A$49,0),MATCH(orders!L$1,products!$A$1:$G$1,0))</f>
        <v>5.97</v>
      </c>
      <c r="M590" s="6">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cm="1">
        <f t="array" ref="F591">_xlfn.XLOOKUP(C591,customers!A$1:$A$1001,customers!$B$1:$B$1001,0)</f>
        <v>Daniel Heinonen</v>
      </c>
      <c r="G591" s="2" t="str">
        <f>IF(_xlfn.XLOOKUP(C591,customers!$A$1:$A$1001,customers!$C$1:$C$1001,0)=0,"",_xlfn.XLOOKUP(C591,customers!$A$1:$A$1001,customers!$C$1:$C$1001))</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6">
        <f>INDEX(products!$A$1:$G$49,MATCH(orders!$D591,products!$A$1:$A$49,0),MATCH(orders!L$1,products!$A$1:$G$1,0))</f>
        <v>34.154999999999994</v>
      </c>
      <c r="M591" s="6">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cm="1">
        <f t="array" ref="F592">_xlfn.XLOOKUP(C592,customers!A$1:$A$1001,customers!$B$1:$B$1001,0)</f>
        <v>Jewelle Shenton</v>
      </c>
      <c r="G592" s="2" t="str">
        <f>IF(_xlfn.XLOOKUP(C592,customers!$A$1:$A$1001,customers!$C$1:$C$1001,0)=0,"",_xlfn.XLOOKUP(C592,customers!$A$1:$A$1001,customers!$C$1:$C$1001))</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6">
        <f>INDEX(products!$A$1:$G$49,MATCH(orders!$D592,products!$A$1:$A$49,0),MATCH(orders!L$1,products!$A$1:$G$1,0))</f>
        <v>31.624999999999996</v>
      </c>
      <c r="M592" s="6">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cm="1">
        <f t="array" ref="F593">_xlfn.XLOOKUP(C593,customers!A$1:$A$1001,customers!$B$1:$B$1001,0)</f>
        <v>Jennifer Wilkisson</v>
      </c>
      <c r="G593" s="2" t="str">
        <f>IF(_xlfn.XLOOKUP(C593,customers!$A$1:$A$1001,customers!$C$1:$C$1001,0)=0,"",_xlfn.XLOOKUP(C593,customers!$A$1:$A$1001,customers!$C$1:$C$1001))</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6">
        <f>INDEX(products!$A$1:$G$49,MATCH(orders!$D593,products!$A$1:$A$49,0),MATCH(orders!L$1,products!$A$1:$G$1,0))</f>
        <v>2.6849999999999996</v>
      </c>
      <c r="M593" s="6">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cm="1">
        <f t="array" ref="F594">_xlfn.XLOOKUP(C594,customers!A$1:$A$1001,customers!$B$1:$B$1001,0)</f>
        <v>Kylie Mowat</v>
      </c>
      <c r="G594" s="2" t="str">
        <f>IF(_xlfn.XLOOKUP(C594,customers!$A$1:$A$1001,customers!$C$1:$C$1001,0)=0,"",_xlfn.XLOOKUP(C594,customers!$A$1:$A$1001,customers!$C$1:$C$1001))</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6">
        <f>INDEX(products!$A$1:$G$49,MATCH(orders!$D594,products!$A$1:$A$49,0),MATCH(orders!L$1,products!$A$1:$G$1,0))</f>
        <v>25.874999999999996</v>
      </c>
      <c r="M594" s="6">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cm="1">
        <f t="array" ref="F595">_xlfn.XLOOKUP(C595,customers!A$1:$A$1001,customers!$B$1:$B$1001,0)</f>
        <v>Cody Verissimo</v>
      </c>
      <c r="G595" s="2" t="str">
        <f>IF(_xlfn.XLOOKUP(C595,customers!$A$1:$A$1001,customers!$C$1:$C$1001,0)=0,"",_xlfn.XLOOKUP(C595,customers!$A$1:$A$1001,customers!$C$1:$C$1001))</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6">
        <f>INDEX(products!$A$1:$G$49,MATCH(orders!$D595,products!$A$1:$A$49,0),MATCH(orders!L$1,products!$A$1:$G$1,0))</f>
        <v>27.945</v>
      </c>
      <c r="M595" s="6">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cm="1">
        <f t="array" ref="F596">_xlfn.XLOOKUP(C596,customers!A$1:$A$1001,customers!$B$1:$B$1001,0)</f>
        <v>Gabriel Starcks</v>
      </c>
      <c r="G596" s="2" t="str">
        <f>IF(_xlfn.XLOOKUP(C596,customers!$A$1:$A$1001,customers!$C$1:$C$1001,0)=0,"",_xlfn.XLOOKUP(C596,customers!$A$1:$A$1001,customers!$C$1:$C$1001))</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6">
        <f>INDEX(products!$A$1:$G$49,MATCH(orders!$D596,products!$A$1:$A$49,0),MATCH(orders!L$1,products!$A$1:$G$1,0))</f>
        <v>29.784999999999997</v>
      </c>
      <c r="M596" s="6">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cm="1">
        <f t="array" ref="F597">_xlfn.XLOOKUP(C597,customers!A$1:$A$1001,customers!$B$1:$B$1001,0)</f>
        <v>Darby Dummer</v>
      </c>
      <c r="G597" s="2" t="str">
        <f>IF(_xlfn.XLOOKUP(C597,customers!$A$1:$A$1001,customers!$C$1:$C$1001,0)=0,"",_xlfn.XLOOKUP(C597,customers!$A$1:$A$1001,customers!$C$1:$C$1001))</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6">
        <f>INDEX(products!$A$1:$G$49,MATCH(orders!$D597,products!$A$1:$A$49,0),MATCH(orders!L$1,products!$A$1:$G$1,0))</f>
        <v>14.85</v>
      </c>
      <c r="M597" s="6">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cm="1">
        <f t="array" ref="F598">_xlfn.XLOOKUP(C598,customers!A$1:$A$1001,customers!$B$1:$B$1001,0)</f>
        <v>Kienan Scholard</v>
      </c>
      <c r="G598" s="2" t="str">
        <f>IF(_xlfn.XLOOKUP(C598,customers!$A$1:$A$1001,customers!$C$1:$C$1001,0)=0,"",_xlfn.XLOOKUP(C598,customers!$A$1:$A$1001,customers!$C$1:$C$1001))</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6">
        <f>INDEX(products!$A$1:$G$49,MATCH(orders!$D598,products!$A$1:$A$49,0),MATCH(orders!L$1,products!$A$1:$G$1,0))</f>
        <v>6.75</v>
      </c>
      <c r="M598" s="6">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cm="1">
        <f t="array" ref="F599">_xlfn.XLOOKUP(C599,customers!A$1:$A$1001,customers!$B$1:$B$1001,0)</f>
        <v>Bo Kindley</v>
      </c>
      <c r="G599" s="2" t="str">
        <f>IF(_xlfn.XLOOKUP(C599,customers!$A$1:$A$1001,customers!$C$1:$C$1001,0)=0,"",_xlfn.XLOOKUP(C599,customers!$A$1:$A$1001,customers!$C$1:$C$1001))</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6">
        <f>INDEX(products!$A$1:$G$49,MATCH(orders!$D599,products!$A$1:$A$49,0),MATCH(orders!L$1,products!$A$1:$G$1,0))</f>
        <v>36.454999999999998</v>
      </c>
      <c r="M599" s="6">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cm="1">
        <f t="array" ref="F600">_xlfn.XLOOKUP(C600,customers!A$1:$A$1001,customers!$B$1:$B$1001,0)</f>
        <v>Krissie Hammett</v>
      </c>
      <c r="G600" s="2" t="str">
        <f>IF(_xlfn.XLOOKUP(C600,customers!$A$1:$A$1001,customers!$C$1:$C$1001,0)=0,"",_xlfn.XLOOKUP(C600,customers!$A$1:$A$1001,customers!$C$1:$C$1001))</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6">
        <f>INDEX(products!$A$1:$G$49,MATCH(orders!$D600,products!$A$1:$A$49,0),MATCH(orders!L$1,products!$A$1:$G$1,0))</f>
        <v>2.9849999999999999</v>
      </c>
      <c r="M600" s="6">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cm="1">
        <f t="array" ref="F601">_xlfn.XLOOKUP(C601,customers!A$1:$A$1001,customers!$B$1:$B$1001,0)</f>
        <v>Alisha Hulburt</v>
      </c>
      <c r="G601" s="2" t="str">
        <f>IF(_xlfn.XLOOKUP(C601,customers!$A$1:$A$1001,customers!$C$1:$C$1001,0)=0,"",_xlfn.XLOOKUP(C601,customers!$A$1:$A$1001,customers!$C$1:$C$1001))</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6">
        <f>INDEX(products!$A$1:$G$49,MATCH(orders!$D601,products!$A$1:$A$49,0),MATCH(orders!L$1,products!$A$1:$G$1,0))</f>
        <v>2.9849999999999999</v>
      </c>
      <c r="M601" s="6">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cm="1">
        <f t="array" ref="F602">_xlfn.XLOOKUP(C602,customers!A$1:$A$1001,customers!$B$1:$B$1001,0)</f>
        <v>Peyter Lauritzen</v>
      </c>
      <c r="G602" s="2" t="str">
        <f>IF(_xlfn.XLOOKUP(C602,customers!$A$1:$A$1001,customers!$C$1:$C$1001,0)=0,"",_xlfn.XLOOKUP(C602,customers!$A$1:$A$1001,customers!$C$1:$C$1001))</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6">
        <f>INDEX(products!$A$1:$G$49,MATCH(orders!$D602,products!$A$1:$A$49,0),MATCH(orders!L$1,products!$A$1:$G$1,0))</f>
        <v>7.77</v>
      </c>
      <c r="M602" s="6">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cm="1">
        <f t="array" ref="F603">_xlfn.XLOOKUP(C603,customers!A$1:$A$1001,customers!$B$1:$B$1001,0)</f>
        <v>Aurelia Burgwin</v>
      </c>
      <c r="G603" s="2" t="str">
        <f>IF(_xlfn.XLOOKUP(C603,customers!$A$1:$A$1001,customers!$C$1:$C$1001,0)=0,"",_xlfn.XLOOKUP(C603,customers!$A$1:$A$1001,customers!$C$1:$C$1001))</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6">
        <f>INDEX(products!$A$1:$G$49,MATCH(orders!$D603,products!$A$1:$A$49,0),MATCH(orders!L$1,products!$A$1:$G$1,0))</f>
        <v>27.484999999999996</v>
      </c>
      <c r="M603" s="6">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cm="1">
        <f t="array" ref="F604">_xlfn.XLOOKUP(C604,customers!A$1:$A$1001,customers!$B$1:$B$1001,0)</f>
        <v>Emalee Rolin</v>
      </c>
      <c r="G604" s="2" t="str">
        <f>IF(_xlfn.XLOOKUP(C604,customers!$A$1:$A$1001,customers!$C$1:$C$1001,0)=0,"",_xlfn.XLOOKUP(C604,customers!$A$1:$A$1001,customers!$C$1:$C$1001))</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6">
        <f>INDEX(products!$A$1:$G$49,MATCH(orders!$D604,products!$A$1:$A$49,0),MATCH(orders!L$1,products!$A$1:$G$1,0))</f>
        <v>4.4550000000000001</v>
      </c>
      <c r="M604" s="6">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cm="1">
        <f t="array" ref="F605">_xlfn.XLOOKUP(C605,customers!A$1:$A$1001,customers!$B$1:$B$1001,0)</f>
        <v>Donavon Fowle</v>
      </c>
      <c r="G605" s="2" t="str">
        <f>IF(_xlfn.XLOOKUP(C605,customers!$A$1:$A$1001,customers!$C$1:$C$1001,0)=0,"",_xlfn.XLOOKUP(C605,customers!$A$1:$A$1001,customers!$C$1:$C$1001))</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6">
        <f>INDEX(products!$A$1:$G$49,MATCH(orders!$D605,products!$A$1:$A$49,0),MATCH(orders!L$1,products!$A$1:$G$1,0))</f>
        <v>2.9849999999999999</v>
      </c>
      <c r="M605" s="6">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cm="1">
        <f t="array" ref="F606">_xlfn.XLOOKUP(C606,customers!A$1:$A$1001,customers!$B$1:$B$1001,0)</f>
        <v>Jorge Bettison</v>
      </c>
      <c r="G606" s="2" t="str">
        <f>IF(_xlfn.XLOOKUP(C606,customers!$A$1:$A$1001,customers!$C$1:$C$1001,0)=0,"",_xlfn.XLOOKUP(C606,customers!$A$1:$A$1001,customers!$C$1:$C$1001))</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6">
        <f>INDEX(products!$A$1:$G$49,MATCH(orders!$D606,products!$A$1:$A$49,0),MATCH(orders!L$1,products!$A$1:$G$1,0))</f>
        <v>29.784999999999997</v>
      </c>
      <c r="M606" s="6">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cm="1">
        <f t="array" ref="F607">_xlfn.XLOOKUP(C607,customers!A$1:$A$1001,customers!$B$1:$B$1001,0)</f>
        <v>Wang Powlesland</v>
      </c>
      <c r="G607" s="2" t="str">
        <f>IF(_xlfn.XLOOKUP(C607,customers!$A$1:$A$1001,customers!$C$1:$C$1001,0)=0,"",_xlfn.XLOOKUP(C607,customers!$A$1:$A$1001,customers!$C$1:$C$1001))</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6">
        <f>INDEX(products!$A$1:$G$49,MATCH(orders!$D607,products!$A$1:$A$49,0),MATCH(orders!L$1,products!$A$1:$G$1,0))</f>
        <v>29.784999999999997</v>
      </c>
      <c r="M607" s="6">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cm="1">
        <f t="array" ref="F608">_xlfn.XLOOKUP(C608,customers!A$1:$A$1001,customers!$B$1:$B$1001,0)</f>
        <v>Cody Verissimo</v>
      </c>
      <c r="G608" s="2" t="str">
        <f>IF(_xlfn.XLOOKUP(C608,customers!$A$1:$A$1001,customers!$C$1:$C$1001,0)=0,"",_xlfn.XLOOKUP(C608,customers!$A$1:$A$1001,customers!$C$1:$C$1001))</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6">
        <f>INDEX(products!$A$1:$G$49,MATCH(orders!$D608,products!$A$1:$A$49,0),MATCH(orders!L$1,products!$A$1:$G$1,0))</f>
        <v>36.454999999999998</v>
      </c>
      <c r="M608" s="6">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cm="1">
        <f t="array" ref="F609">_xlfn.XLOOKUP(C609,customers!A$1:$A$1001,customers!$B$1:$B$1001,0)</f>
        <v>Laurence Ellingham</v>
      </c>
      <c r="G609" s="2" t="str">
        <f>IF(_xlfn.XLOOKUP(C609,customers!$A$1:$A$1001,customers!$C$1:$C$1001,0)=0,"",_xlfn.XLOOKUP(C609,customers!$A$1:$A$1001,customers!$C$1:$C$1001))</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6">
        <f>INDEX(products!$A$1:$G$49,MATCH(orders!$D609,products!$A$1:$A$49,0),MATCH(orders!L$1,products!$A$1:$G$1,0))</f>
        <v>3.645</v>
      </c>
      <c r="M609" s="6">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cm="1">
        <f t="array" ref="F610">_xlfn.XLOOKUP(C610,customers!A$1:$A$1001,customers!$B$1:$B$1001,0)</f>
        <v>Billy Neiland</v>
      </c>
      <c r="G610" s="2" t="str">
        <f>IF(_xlfn.XLOOKUP(C610,customers!$A$1:$A$1001,customers!$C$1:$C$1001,0)=0,"",_xlfn.XLOOKUP(C610,customers!$A$1:$A$1001,customers!$C$1:$C$1001))</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6">
        <f>INDEX(products!$A$1:$G$49,MATCH(orders!$D610,products!$A$1:$A$49,0),MATCH(orders!L$1,products!$A$1:$G$1,0))</f>
        <v>27.945</v>
      </c>
      <c r="M610" s="6">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cm="1">
        <f t="array" ref="F611">_xlfn.XLOOKUP(C611,customers!A$1:$A$1001,customers!$B$1:$B$1001,0)</f>
        <v>Ancell Fendt</v>
      </c>
      <c r="G611" s="2" t="str">
        <f>IF(_xlfn.XLOOKUP(C611,customers!$A$1:$A$1001,customers!$C$1:$C$1001,0)=0,"",_xlfn.XLOOKUP(C611,customers!$A$1:$A$1001,customers!$C$1:$C$1001))</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6">
        <f>INDEX(products!$A$1:$G$49,MATCH(orders!$D611,products!$A$1:$A$49,0),MATCH(orders!L$1,products!$A$1:$G$1,0))</f>
        <v>4.3650000000000002</v>
      </c>
      <c r="M611" s="6">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cm="1">
        <f t="array" ref="F612">_xlfn.XLOOKUP(C612,customers!A$1:$A$1001,customers!$B$1:$B$1001,0)</f>
        <v>Angelia Cleyburn</v>
      </c>
      <c r="G612" s="2" t="str">
        <f>IF(_xlfn.XLOOKUP(C612,customers!$A$1:$A$1001,customers!$C$1:$C$1001,0)=0,"",_xlfn.XLOOKUP(C612,customers!$A$1:$A$1001,customers!$C$1:$C$1001))</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6">
        <f>INDEX(products!$A$1:$G$49,MATCH(orders!$D612,products!$A$1:$A$49,0),MATCH(orders!L$1,products!$A$1:$G$1,0))</f>
        <v>9.9499999999999993</v>
      </c>
      <c r="M612" s="6">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cm="1">
        <f t="array" ref="F613">_xlfn.XLOOKUP(C613,customers!A$1:$A$1001,customers!$B$1:$B$1001,0)</f>
        <v>Temple Castiglione</v>
      </c>
      <c r="G613" s="2" t="str">
        <f>IF(_xlfn.XLOOKUP(C613,customers!$A$1:$A$1001,customers!$C$1:$C$1001,0)=0,"",_xlfn.XLOOKUP(C613,customers!$A$1:$A$1001,customers!$C$1:$C$1001))</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6">
        <f>INDEX(products!$A$1:$G$49,MATCH(orders!$D613,products!$A$1:$A$49,0),MATCH(orders!L$1,products!$A$1:$G$1,0))</f>
        <v>34.154999999999994</v>
      </c>
      <c r="M613" s="6">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cm="1">
        <f t="array" ref="F614">_xlfn.XLOOKUP(C614,customers!A$1:$A$1001,customers!$B$1:$B$1001,0)</f>
        <v>Betti Lacasa</v>
      </c>
      <c r="G614" s="2" t="str">
        <f>IF(_xlfn.XLOOKUP(C614,customers!$A$1:$A$1001,customers!$C$1:$C$1001,0)=0,"",_xlfn.XLOOKUP(C614,customers!$A$1:$A$1001,customers!$C$1:$C$1001))</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6">
        <f>INDEX(products!$A$1:$G$49,MATCH(orders!$D614,products!$A$1:$A$49,0),MATCH(orders!L$1,products!$A$1:$G$1,0))</f>
        <v>3.375</v>
      </c>
      <c r="M614" s="6">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cm="1">
        <f t="array" ref="F615">_xlfn.XLOOKUP(C615,customers!A$1:$A$1001,customers!$B$1:$B$1001,0)</f>
        <v>Gunilla Lynch</v>
      </c>
      <c r="G615" s="2" t="str">
        <f>IF(_xlfn.XLOOKUP(C615,customers!$A$1:$A$1001,customers!$C$1:$C$1001,0)=0,"",_xlfn.XLOOKUP(C615,customers!$A$1:$A$1001,customers!$C$1:$C$1001))</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6">
        <f>INDEX(products!$A$1:$G$49,MATCH(orders!$D615,products!$A$1:$A$49,0),MATCH(orders!L$1,products!$A$1:$G$1,0))</f>
        <v>5.97</v>
      </c>
      <c r="M615" s="6">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cm="1">
        <f t="array" ref="F616">_xlfn.XLOOKUP(C616,customers!A$1:$A$1001,customers!$B$1:$B$1001,0)</f>
        <v>Cody Verissimo</v>
      </c>
      <c r="G616" s="2" t="str">
        <f>IF(_xlfn.XLOOKUP(C616,customers!$A$1:$A$1001,customers!$C$1:$C$1001,0)=0,"",_xlfn.XLOOKUP(C616,customers!$A$1:$A$1001,customers!$C$1:$C$1001))</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6">
        <f>INDEX(products!$A$1:$G$49,MATCH(orders!$D616,products!$A$1:$A$49,0),MATCH(orders!L$1,products!$A$1:$G$1,0))</f>
        <v>5.97</v>
      </c>
      <c r="M616" s="6">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cm="1">
        <f t="array" ref="F617">_xlfn.XLOOKUP(C617,customers!A$1:$A$1001,customers!$B$1:$B$1001,0)</f>
        <v>Shay Couronne</v>
      </c>
      <c r="G617" s="2" t="str">
        <f>IF(_xlfn.XLOOKUP(C617,customers!$A$1:$A$1001,customers!$C$1:$C$1001,0)=0,"",_xlfn.XLOOKUP(C617,customers!$A$1:$A$1001,customers!$C$1:$C$1001))</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6">
        <f>INDEX(products!$A$1:$G$49,MATCH(orders!$D617,products!$A$1:$A$49,0),MATCH(orders!L$1,products!$A$1:$G$1,0))</f>
        <v>36.454999999999998</v>
      </c>
      <c r="M617" s="6">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cm="1">
        <f t="array" ref="F618">_xlfn.XLOOKUP(C618,customers!A$1:$A$1001,customers!$B$1:$B$1001,0)</f>
        <v>Linus Flippelli</v>
      </c>
      <c r="G618" s="2" t="str">
        <f>IF(_xlfn.XLOOKUP(C618,customers!$A$1:$A$1001,customers!$C$1:$C$1001,0)=0,"",_xlfn.XLOOKUP(C618,customers!$A$1:$A$1001,customers!$C$1:$C$1001))</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6">
        <f>INDEX(products!$A$1:$G$49,MATCH(orders!$D618,products!$A$1:$A$49,0),MATCH(orders!L$1,products!$A$1:$G$1,0))</f>
        <v>31.624999999999996</v>
      </c>
      <c r="M618" s="6">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cm="1">
        <f t="array" ref="F619">_xlfn.XLOOKUP(C619,customers!A$1:$A$1001,customers!$B$1:$B$1001,0)</f>
        <v>Rachelle Elizabeth</v>
      </c>
      <c r="G619" s="2" t="str">
        <f>IF(_xlfn.XLOOKUP(C619,customers!$A$1:$A$1001,customers!$C$1:$C$1001,0)=0,"",_xlfn.XLOOKUP(C619,customers!$A$1:$A$1001,customers!$C$1:$C$1001))</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6">
        <f>INDEX(products!$A$1:$G$49,MATCH(orders!$D619,products!$A$1:$A$49,0),MATCH(orders!L$1,products!$A$1:$G$1,0))</f>
        <v>33.464999999999996</v>
      </c>
      <c r="M619" s="6">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cm="1">
        <f t="array" ref="F620">_xlfn.XLOOKUP(C620,customers!A$1:$A$1001,customers!$B$1:$B$1001,0)</f>
        <v>Innis Renhard</v>
      </c>
      <c r="G620" s="2" t="str">
        <f>IF(_xlfn.XLOOKUP(C620,customers!$A$1:$A$1001,customers!$C$1:$C$1001,0)=0,"",_xlfn.XLOOKUP(C620,customers!$A$1:$A$1001,customers!$C$1:$C$1001))</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6">
        <f>INDEX(products!$A$1:$G$49,MATCH(orders!$D620,products!$A$1:$A$49,0),MATCH(orders!L$1,products!$A$1:$G$1,0))</f>
        <v>12.15</v>
      </c>
      <c r="M620" s="6">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cm="1">
        <f t="array" ref="F621">_xlfn.XLOOKUP(C621,customers!A$1:$A$1001,customers!$B$1:$B$1001,0)</f>
        <v>Winne Roche</v>
      </c>
      <c r="G621" s="2" t="str">
        <f>IF(_xlfn.XLOOKUP(C621,customers!$A$1:$A$1001,customers!$C$1:$C$1001,0)=0,"",_xlfn.XLOOKUP(C621,customers!$A$1:$A$1001,customers!$C$1:$C$1001))</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6">
        <f>INDEX(products!$A$1:$G$49,MATCH(orders!$D621,products!$A$1:$A$49,0),MATCH(orders!L$1,products!$A$1:$G$1,0))</f>
        <v>7.77</v>
      </c>
      <c r="M621" s="6">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cm="1">
        <f t="array" ref="F622">_xlfn.XLOOKUP(C622,customers!A$1:$A$1001,customers!$B$1:$B$1001,0)</f>
        <v>Linn Alaway</v>
      </c>
      <c r="G622" s="2" t="str">
        <f>IF(_xlfn.XLOOKUP(C622,customers!$A$1:$A$1001,customers!$C$1:$C$1001,0)=0,"",_xlfn.XLOOKUP(C622,customers!$A$1:$A$1001,customers!$C$1:$C$1001))</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6">
        <f>INDEX(products!$A$1:$G$49,MATCH(orders!$D622,products!$A$1:$A$49,0),MATCH(orders!L$1,products!$A$1:$G$1,0))</f>
        <v>3.375</v>
      </c>
      <c r="M622" s="6">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cm="1">
        <f t="array" ref="F623">_xlfn.XLOOKUP(C623,customers!A$1:$A$1001,customers!$B$1:$B$1001,0)</f>
        <v>Cordy Odgaard</v>
      </c>
      <c r="G623" s="2" t="str">
        <f>IF(_xlfn.XLOOKUP(C623,customers!$A$1:$A$1001,customers!$C$1:$C$1001,0)=0,"",_xlfn.XLOOKUP(C623,customers!$A$1:$A$1001,customers!$C$1:$C$1001))</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6">
        <f>INDEX(products!$A$1:$G$49,MATCH(orders!$D623,products!$A$1:$A$49,0),MATCH(orders!L$1,products!$A$1:$G$1,0))</f>
        <v>12.95</v>
      </c>
      <c r="M623" s="6">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cm="1">
        <f t="array" ref="F624">_xlfn.XLOOKUP(C624,customers!A$1:$A$1001,customers!$B$1:$B$1001,0)</f>
        <v>Bertine Byrd</v>
      </c>
      <c r="G624" s="2" t="str">
        <f>IF(_xlfn.XLOOKUP(C624,customers!$A$1:$A$1001,customers!$C$1:$C$1001,0)=0,"",_xlfn.XLOOKUP(C624,customers!$A$1:$A$1001,customers!$C$1:$C$1001))</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6">
        <f>INDEX(products!$A$1:$G$49,MATCH(orders!$D624,products!$A$1:$A$49,0),MATCH(orders!L$1,products!$A$1:$G$1,0))</f>
        <v>33.464999999999996</v>
      </c>
      <c r="M624" s="6">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cm="1">
        <f t="array" ref="F625">_xlfn.XLOOKUP(C625,customers!A$1:$A$1001,customers!$B$1:$B$1001,0)</f>
        <v>Nelie Garnson</v>
      </c>
      <c r="G625" s="2" t="str">
        <f>IF(_xlfn.XLOOKUP(C625,customers!$A$1:$A$1001,customers!$C$1:$C$1001,0)=0,"",_xlfn.XLOOKUP(C625,customers!$A$1:$A$1001,customers!$C$1:$C$1001))</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6">
        <f>INDEX(products!$A$1:$G$49,MATCH(orders!$D625,products!$A$1:$A$49,0),MATCH(orders!L$1,products!$A$1:$G$1,0))</f>
        <v>12.15</v>
      </c>
      <c r="M625" s="6">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cm="1">
        <f t="array" ref="F626">_xlfn.XLOOKUP(C626,customers!A$1:$A$1001,customers!$B$1:$B$1001,0)</f>
        <v>Dianne Chardin</v>
      </c>
      <c r="G626" s="2" t="str">
        <f>IF(_xlfn.XLOOKUP(C626,customers!$A$1:$A$1001,customers!$C$1:$C$1001,0)=0,"",_xlfn.XLOOKUP(C626,customers!$A$1:$A$1001,customers!$C$1:$C$1001))</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6">
        <f>INDEX(products!$A$1:$G$49,MATCH(orders!$D626,products!$A$1:$A$49,0),MATCH(orders!L$1,products!$A$1:$G$1,0))</f>
        <v>31.624999999999996</v>
      </c>
      <c r="M626" s="6">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cm="1">
        <f t="array" ref="F627">_xlfn.XLOOKUP(C627,customers!A$1:$A$1001,customers!$B$1:$B$1001,0)</f>
        <v>Hailee Radbone</v>
      </c>
      <c r="G627" s="2" t="str">
        <f>IF(_xlfn.XLOOKUP(C627,customers!$A$1:$A$1001,customers!$C$1:$C$1001,0)=0,"",_xlfn.XLOOKUP(C627,customers!$A$1:$A$1001,customers!$C$1:$C$1001))</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6">
        <f>INDEX(products!$A$1:$G$49,MATCH(orders!$D627,products!$A$1:$A$49,0),MATCH(orders!L$1,products!$A$1:$G$1,0))</f>
        <v>7.169999999999999</v>
      </c>
      <c r="M627" s="6">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cm="1">
        <f t="array" ref="F628">_xlfn.XLOOKUP(C628,customers!A$1:$A$1001,customers!$B$1:$B$1001,0)</f>
        <v>Wallis Bernth</v>
      </c>
      <c r="G628" s="2" t="str">
        <f>IF(_xlfn.XLOOKUP(C628,customers!$A$1:$A$1001,customers!$C$1:$C$1001,0)=0,"",_xlfn.XLOOKUP(C628,customers!$A$1:$A$1001,customers!$C$1:$C$1001))</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6">
        <f>INDEX(products!$A$1:$G$49,MATCH(orders!$D628,products!$A$1:$A$49,0),MATCH(orders!L$1,products!$A$1:$G$1,0))</f>
        <v>25.874999999999996</v>
      </c>
      <c r="M628" s="6">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cm="1">
        <f t="array" ref="F629">_xlfn.XLOOKUP(C629,customers!A$1:$A$1001,customers!$B$1:$B$1001,0)</f>
        <v>Byron Acarson</v>
      </c>
      <c r="G629" s="2" t="str">
        <f>IF(_xlfn.XLOOKUP(C629,customers!$A$1:$A$1001,customers!$C$1:$C$1001,0)=0,"",_xlfn.XLOOKUP(C629,customers!$A$1:$A$1001,customers!$C$1:$C$1001))</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6">
        <f>INDEX(products!$A$1:$G$49,MATCH(orders!$D629,products!$A$1:$A$49,0),MATCH(orders!L$1,products!$A$1:$G$1,0))</f>
        <v>31.624999999999996</v>
      </c>
      <c r="M629" s="6">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cm="1">
        <f t="array" ref="F630">_xlfn.XLOOKUP(C630,customers!A$1:$A$1001,customers!$B$1:$B$1001,0)</f>
        <v>Faunie Brigham</v>
      </c>
      <c r="G630" s="2" t="str">
        <f>IF(_xlfn.XLOOKUP(C630,customers!$A$1:$A$1001,customers!$C$1:$C$1001,0)=0,"",_xlfn.XLOOKUP(C630,customers!$A$1:$A$1001,customers!$C$1:$C$1001))</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6">
        <f>INDEX(products!$A$1:$G$49,MATCH(orders!$D630,products!$A$1:$A$49,0),MATCH(orders!L$1,products!$A$1:$G$1,0))</f>
        <v>4.4550000000000001</v>
      </c>
      <c r="M630" s="6">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cm="1">
        <f t="array" ref="F631">_xlfn.XLOOKUP(C631,customers!A$1:$A$1001,customers!$B$1:$B$1001,0)</f>
        <v>Faunie Brigham</v>
      </c>
      <c r="G631" s="2" t="str">
        <f>IF(_xlfn.XLOOKUP(C631,customers!$A$1:$A$1001,customers!$C$1:$C$1001,0)=0,"",_xlfn.XLOOKUP(C631,customers!$A$1:$A$1001,customers!$C$1:$C$1001))</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6">
        <f>INDEX(products!$A$1:$G$49,MATCH(orders!$D631,products!$A$1:$A$49,0),MATCH(orders!L$1,products!$A$1:$G$1,0))</f>
        <v>7.77</v>
      </c>
      <c r="M631" s="6">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cm="1">
        <f t="array" ref="F632">_xlfn.XLOOKUP(C632,customers!A$1:$A$1001,customers!$B$1:$B$1001,0)</f>
        <v>Faunie Brigham</v>
      </c>
      <c r="G632" s="2" t="str">
        <f>IF(_xlfn.XLOOKUP(C632,customers!$A$1:$A$1001,customers!$C$1:$C$1001,0)=0,"",_xlfn.XLOOKUP(C632,customers!$A$1:$A$1001,customers!$C$1:$C$1001))</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6">
        <f>INDEX(products!$A$1:$G$49,MATCH(orders!$D632,products!$A$1:$A$49,0),MATCH(orders!L$1,products!$A$1:$G$1,0))</f>
        <v>2.9849999999999999</v>
      </c>
      <c r="M632" s="6">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cm="1">
        <f t="array" ref="F633">_xlfn.XLOOKUP(C633,customers!A$1:$A$1001,customers!$B$1:$B$1001,0)</f>
        <v>Faunie Brigham</v>
      </c>
      <c r="G633" s="2" t="str">
        <f>IF(_xlfn.XLOOKUP(C633,customers!$A$1:$A$1001,customers!$C$1:$C$1001,0)=0,"",_xlfn.XLOOKUP(C633,customers!$A$1:$A$1001,customers!$C$1:$C$1001))</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6">
        <f>INDEX(products!$A$1:$G$49,MATCH(orders!$D633,products!$A$1:$A$49,0),MATCH(orders!L$1,products!$A$1:$G$1,0))</f>
        <v>20.584999999999997</v>
      </c>
      <c r="M633" s="6">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cm="1">
        <f t="array" ref="F634">_xlfn.XLOOKUP(C634,customers!A$1:$A$1001,customers!$B$1:$B$1001,0)</f>
        <v>Marjorie Yoxen</v>
      </c>
      <c r="G634" s="2" t="str">
        <f>IF(_xlfn.XLOOKUP(C634,customers!$A$1:$A$1001,customers!$C$1:$C$1001,0)=0,"",_xlfn.XLOOKUP(C634,customers!$A$1:$A$1001,customers!$C$1:$C$1001))</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6">
        <f>INDEX(products!$A$1:$G$49,MATCH(orders!$D634,products!$A$1:$A$49,0),MATCH(orders!L$1,products!$A$1:$G$1,0))</f>
        <v>8.91</v>
      </c>
      <c r="M634" s="6">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cm="1">
        <f t="array" ref="F635">_xlfn.XLOOKUP(C635,customers!A$1:$A$1001,customers!$B$1:$B$1001,0)</f>
        <v>Gaspar McGavin</v>
      </c>
      <c r="G635" s="2" t="str">
        <f>IF(_xlfn.XLOOKUP(C635,customers!$A$1:$A$1001,customers!$C$1:$C$1001,0)=0,"",_xlfn.XLOOKUP(C635,customers!$A$1:$A$1001,customers!$C$1:$C$1001))</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6">
        <f>INDEX(products!$A$1:$G$49,MATCH(orders!$D635,products!$A$1:$A$49,0),MATCH(orders!L$1,products!$A$1:$G$1,0))</f>
        <v>11.95</v>
      </c>
      <c r="M635" s="6">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cm="1">
        <f t="array" ref="F636">_xlfn.XLOOKUP(C636,customers!A$1:$A$1001,customers!$B$1:$B$1001,0)</f>
        <v>Lindy Uttermare</v>
      </c>
      <c r="G636" s="2" t="str">
        <f>IF(_xlfn.XLOOKUP(C636,customers!$A$1:$A$1001,customers!$C$1:$C$1001,0)=0,"",_xlfn.XLOOKUP(C636,customers!$A$1:$A$1001,customers!$C$1:$C$1001))</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6">
        <f>INDEX(products!$A$1:$G$49,MATCH(orders!$D636,products!$A$1:$A$49,0),MATCH(orders!L$1,products!$A$1:$G$1,0))</f>
        <v>14.55</v>
      </c>
      <c r="M636" s="6">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cm="1">
        <f t="array" ref="F637">_xlfn.XLOOKUP(C637,customers!A$1:$A$1001,customers!$B$1:$B$1001,0)</f>
        <v>Eal D'Ambrogio</v>
      </c>
      <c r="G637" s="2" t="str">
        <f>IF(_xlfn.XLOOKUP(C637,customers!$A$1:$A$1001,customers!$C$1:$C$1001,0)=0,"",_xlfn.XLOOKUP(C637,customers!$A$1:$A$1001,customers!$C$1:$C$1001))</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6">
        <f>INDEX(products!$A$1:$G$49,MATCH(orders!$D637,products!$A$1:$A$49,0),MATCH(orders!L$1,products!$A$1:$G$1,0))</f>
        <v>8.91</v>
      </c>
      <c r="M637" s="6">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cm="1">
        <f t="array" ref="F638">_xlfn.XLOOKUP(C638,customers!A$1:$A$1001,customers!$B$1:$B$1001,0)</f>
        <v>Carolee Winchcombe</v>
      </c>
      <c r="G638" s="2" t="str">
        <f>IF(_xlfn.XLOOKUP(C638,customers!$A$1:$A$1001,customers!$C$1:$C$1001,0)=0,"",_xlfn.XLOOKUP(C638,customers!$A$1:$A$1001,customers!$C$1:$C$1001))</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6">
        <f>INDEX(products!$A$1:$G$49,MATCH(orders!$D638,products!$A$1:$A$49,0),MATCH(orders!L$1,products!$A$1:$G$1,0))</f>
        <v>15.85</v>
      </c>
      <c r="M638" s="6">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cm="1">
        <f t="array" ref="F639">_xlfn.XLOOKUP(C639,customers!A$1:$A$1001,customers!$B$1:$B$1001,0)</f>
        <v>Benedikta Paumier</v>
      </c>
      <c r="G639" s="2" t="str">
        <f>IF(_xlfn.XLOOKUP(C639,customers!$A$1:$A$1001,customers!$C$1:$C$1001,0)=0,"",_xlfn.XLOOKUP(C639,customers!$A$1:$A$1001,customers!$C$1:$C$1001))</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6">
        <f>INDEX(products!$A$1:$G$49,MATCH(orders!$D639,products!$A$1:$A$49,0),MATCH(orders!L$1,products!$A$1:$G$1,0))</f>
        <v>31.624999999999996</v>
      </c>
      <c r="M639" s="6">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cm="1">
        <f t="array" ref="F640">_xlfn.XLOOKUP(C640,customers!A$1:$A$1001,customers!$B$1:$B$1001,0)</f>
        <v>Neville Piatto</v>
      </c>
      <c r="G640" s="2" t="str">
        <f>IF(_xlfn.XLOOKUP(C640,customers!$A$1:$A$1001,customers!$C$1:$C$1001,0)=0,"",_xlfn.XLOOKUP(C640,customers!$A$1:$A$1001,customers!$C$1:$C$1001))</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6">
        <f>INDEX(products!$A$1:$G$49,MATCH(orders!$D640,products!$A$1:$A$49,0),MATCH(orders!L$1,products!$A$1:$G$1,0))</f>
        <v>25.874999999999996</v>
      </c>
      <c r="M640" s="6">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cm="1">
        <f t="array" ref="F641">_xlfn.XLOOKUP(C641,customers!A$1:$A$1001,customers!$B$1:$B$1001,0)</f>
        <v>Jeno Capey</v>
      </c>
      <c r="G641" s="2" t="str">
        <f>IF(_xlfn.XLOOKUP(C641,customers!$A$1:$A$1001,customers!$C$1:$C$1001,0)=0,"",_xlfn.XLOOKUP(C641,customers!$A$1:$A$1001,customers!$C$1:$C$1001))</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6">
        <f>INDEX(products!$A$1:$G$49,MATCH(orders!$D641,products!$A$1:$A$49,0),MATCH(orders!L$1,products!$A$1:$G$1,0))</f>
        <v>3.8849999999999998</v>
      </c>
      <c r="M641" s="6">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cm="1">
        <f t="array" ref="F642">_xlfn.XLOOKUP(C642,customers!A$1:$A$1001,customers!$B$1:$B$1001,0)</f>
        <v>Tuckie Mathonnet</v>
      </c>
      <c r="G642" s="2" t="str">
        <f>IF(_xlfn.XLOOKUP(C642,customers!$A$1:$A$1001,customers!$C$1:$C$1001,0)=0,"",_xlfn.XLOOKUP(C642,customers!$A$1:$A$1001,customers!$C$1:$C$1001))</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6">
        <f>INDEX(products!$A$1:$G$49,MATCH(orders!$D642,products!$A$1:$A$49,0),MATCH(orders!L$1,products!$A$1:$G$1,0))</f>
        <v>27.484999999999996</v>
      </c>
      <c r="M642" s="6">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cm="1">
        <f t="array" ref="F643">_xlfn.XLOOKUP(C643,customers!A$1:$A$1001,customers!$B$1:$B$1001,0)</f>
        <v>Yardley Basill</v>
      </c>
      <c r="G643" s="2" t="str">
        <f>IF(_xlfn.XLOOKUP(C643,customers!$A$1:$A$1001,customers!$C$1:$C$1001,0)=0,"",_xlfn.XLOOKUP(C643,customers!$A$1:$A$1001,customers!$C$1:$C$1001))</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6">
        <f>INDEX(products!$A$1:$G$49,MATCH(orders!$D643,products!$A$1:$A$49,0),MATCH(orders!L$1,products!$A$1:$G$1,0))</f>
        <v>11.95</v>
      </c>
      <c r="M643" s="6">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cm="1">
        <f t="array" ref="F644">_xlfn.XLOOKUP(C644,customers!A$1:$A$1001,customers!$B$1:$B$1001,0)</f>
        <v>Maggy Baistow</v>
      </c>
      <c r="G644" s="2" t="str">
        <f>IF(_xlfn.XLOOKUP(C644,customers!$A$1:$A$1001,customers!$C$1:$C$1001,0)=0,"",_xlfn.XLOOKUP(C644,customers!$A$1:$A$1001,customers!$C$1:$C$1001))</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6">
        <f>INDEX(products!$A$1:$G$49,MATCH(orders!$D644,products!$A$1:$A$49,0),MATCH(orders!L$1,products!$A$1:$G$1,0))</f>
        <v>4.125</v>
      </c>
      <c r="M644" s="6">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cm="1">
        <f t="array" ref="F645">_xlfn.XLOOKUP(C645,customers!A$1:$A$1001,customers!$B$1:$B$1001,0)</f>
        <v>Courtney Pallant</v>
      </c>
      <c r="G645" s="2" t="str">
        <f>IF(_xlfn.XLOOKUP(C645,customers!$A$1:$A$1001,customers!$C$1:$C$1001,0)=0,"",_xlfn.XLOOKUP(C645,customers!$A$1:$A$1001,customers!$C$1:$C$1001))</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6">
        <f>INDEX(products!$A$1:$G$49,MATCH(orders!$D645,products!$A$1:$A$49,0),MATCH(orders!L$1,products!$A$1:$G$1,0))</f>
        <v>34.154999999999994</v>
      </c>
      <c r="M645" s="6">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cm="1">
        <f t="array" ref="F646">_xlfn.XLOOKUP(C646,customers!A$1:$A$1001,customers!$B$1:$B$1001,0)</f>
        <v>Marne Mingey</v>
      </c>
      <c r="G646" s="2" t="str">
        <f>IF(_xlfn.XLOOKUP(C646,customers!$A$1:$A$1001,customers!$C$1:$C$1001,0)=0,"",_xlfn.XLOOKUP(C646,customers!$A$1:$A$1001,customers!$C$1:$C$1001))</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6">
        <f>INDEX(products!$A$1:$G$49,MATCH(orders!$D646,products!$A$1:$A$49,0),MATCH(orders!L$1,products!$A$1:$G$1,0))</f>
        <v>20.584999999999997</v>
      </c>
      <c r="M646" s="6">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cm="1">
        <f t="array" ref="F647">_xlfn.XLOOKUP(C647,customers!A$1:$A$1001,customers!$B$1:$B$1001,0)</f>
        <v>Denny O' Ronan</v>
      </c>
      <c r="G647" s="2" t="str">
        <f>IF(_xlfn.XLOOKUP(C647,customers!$A$1:$A$1001,customers!$C$1:$C$1001,0)=0,"",_xlfn.XLOOKUP(C647,customers!$A$1:$A$1001,customers!$C$1:$C$1001))</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6">
        <f>INDEX(products!$A$1:$G$49,MATCH(orders!$D647,products!$A$1:$A$49,0),MATCH(orders!L$1,products!$A$1:$G$1,0))</f>
        <v>22.884999999999998</v>
      </c>
      <c r="M647" s="6">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cm="1">
        <f t="array" ref="F648">_xlfn.XLOOKUP(C648,customers!A$1:$A$1001,customers!$B$1:$B$1001,0)</f>
        <v>Dottie Rallin</v>
      </c>
      <c r="G648" s="2" t="str">
        <f>IF(_xlfn.XLOOKUP(C648,customers!$A$1:$A$1001,customers!$C$1:$C$1001,0)=0,"",_xlfn.XLOOKUP(C648,customers!$A$1:$A$1001,customers!$C$1:$C$1001))</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6">
        <f>INDEX(products!$A$1:$G$49,MATCH(orders!$D648,products!$A$1:$A$49,0),MATCH(orders!L$1,products!$A$1:$G$1,0))</f>
        <v>9.9499999999999993</v>
      </c>
      <c r="M648" s="6">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cm="1">
        <f t="array" ref="F649">_xlfn.XLOOKUP(C649,customers!A$1:$A$1001,customers!$B$1:$B$1001,0)</f>
        <v>Ardith Chill</v>
      </c>
      <c r="G649" s="2" t="str">
        <f>IF(_xlfn.XLOOKUP(C649,customers!$A$1:$A$1001,customers!$C$1:$C$1001,0)=0,"",_xlfn.XLOOKUP(C649,customers!$A$1:$A$1001,customers!$C$1:$C$1001))</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6">
        <f>INDEX(products!$A$1:$G$49,MATCH(orders!$D649,products!$A$1:$A$49,0),MATCH(orders!L$1,products!$A$1:$G$1,0))</f>
        <v>9.51</v>
      </c>
      <c r="M649" s="6">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cm="1">
        <f t="array" ref="F650">_xlfn.XLOOKUP(C650,customers!A$1:$A$1001,customers!$B$1:$B$1001,0)</f>
        <v>Tuckie Mathonnet</v>
      </c>
      <c r="G650" s="2" t="str">
        <f>IF(_xlfn.XLOOKUP(C650,customers!$A$1:$A$1001,customers!$C$1:$C$1001,0)=0,"",_xlfn.XLOOKUP(C650,customers!$A$1:$A$1001,customers!$C$1:$C$1001))</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6">
        <f>INDEX(products!$A$1:$G$49,MATCH(orders!$D650,products!$A$1:$A$49,0),MATCH(orders!L$1,products!$A$1:$G$1,0))</f>
        <v>2.6849999999999996</v>
      </c>
      <c r="M650" s="6">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cm="1">
        <f t="array" ref="F651">_xlfn.XLOOKUP(C651,customers!A$1:$A$1001,customers!$B$1:$B$1001,0)</f>
        <v>Charmane Denys</v>
      </c>
      <c r="G651" s="2" t="str">
        <f>IF(_xlfn.XLOOKUP(C651,customers!$A$1:$A$1001,customers!$C$1:$C$1001,0)=0,"",_xlfn.XLOOKUP(C651,customers!$A$1:$A$1001,customers!$C$1:$C$1001))</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6">
        <f>INDEX(products!$A$1:$G$49,MATCH(orders!$D651,products!$A$1:$A$49,0),MATCH(orders!L$1,products!$A$1:$G$1,0))</f>
        <v>15.85</v>
      </c>
      <c r="M651" s="6">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cm="1">
        <f t="array" ref="F652">_xlfn.XLOOKUP(C652,customers!A$1:$A$1001,customers!$B$1:$B$1001,0)</f>
        <v>Cecily Stebbings</v>
      </c>
      <c r="G652" s="2" t="str">
        <f>IF(_xlfn.XLOOKUP(C652,customers!$A$1:$A$1001,customers!$C$1:$C$1001,0)=0,"",_xlfn.XLOOKUP(C652,customers!$A$1:$A$1001,customers!$C$1:$C$1001))</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6">
        <f>INDEX(products!$A$1:$G$49,MATCH(orders!$D652,products!$A$1:$A$49,0),MATCH(orders!L$1,products!$A$1:$G$1,0))</f>
        <v>5.3699999999999992</v>
      </c>
      <c r="M652" s="6">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cm="1">
        <f t="array" ref="F653">_xlfn.XLOOKUP(C653,customers!A$1:$A$1001,customers!$B$1:$B$1001,0)</f>
        <v>Giana Tonnesen</v>
      </c>
      <c r="G653" s="2" t="str">
        <f>IF(_xlfn.XLOOKUP(C653,customers!$A$1:$A$1001,customers!$C$1:$C$1001,0)=0,"",_xlfn.XLOOKUP(C653,customers!$A$1:$A$1001,customers!$C$1:$C$1001))</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6">
        <f>INDEX(products!$A$1:$G$49,MATCH(orders!$D653,products!$A$1:$A$49,0),MATCH(orders!L$1,products!$A$1:$G$1,0))</f>
        <v>11.95</v>
      </c>
      <c r="M653" s="6">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cm="1">
        <f t="array" ref="F654">_xlfn.XLOOKUP(C654,customers!A$1:$A$1001,customers!$B$1:$B$1001,0)</f>
        <v>Rhetta Zywicki</v>
      </c>
      <c r="G654" s="2" t="str">
        <f>IF(_xlfn.XLOOKUP(C654,customers!$A$1:$A$1001,customers!$C$1:$C$1001,0)=0,"",_xlfn.XLOOKUP(C654,customers!$A$1:$A$1001,customers!$C$1:$C$1001))</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6">
        <f>INDEX(products!$A$1:$G$49,MATCH(orders!$D654,products!$A$1:$A$49,0),MATCH(orders!L$1,products!$A$1:$G$1,0))</f>
        <v>15.85</v>
      </c>
      <c r="M654" s="6">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cm="1">
        <f t="array" ref="F655">_xlfn.XLOOKUP(C655,customers!A$1:$A$1001,customers!$B$1:$B$1001,0)</f>
        <v>Almeria Burgett</v>
      </c>
      <c r="G655" s="2" t="str">
        <f>IF(_xlfn.XLOOKUP(C655,customers!$A$1:$A$1001,customers!$C$1:$C$1001,0)=0,"",_xlfn.XLOOKUP(C655,customers!$A$1:$A$1001,customers!$C$1:$C$1001))</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6">
        <f>INDEX(products!$A$1:$G$49,MATCH(orders!$D655,products!$A$1:$A$49,0),MATCH(orders!L$1,products!$A$1:$G$1,0))</f>
        <v>25.874999999999996</v>
      </c>
      <c r="M655" s="6">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cm="1">
        <f t="array" ref="F656">_xlfn.XLOOKUP(C656,customers!A$1:$A$1001,customers!$B$1:$B$1001,0)</f>
        <v>Marvin Malloy</v>
      </c>
      <c r="G656" s="2" t="str">
        <f>IF(_xlfn.XLOOKUP(C656,customers!$A$1:$A$1001,customers!$C$1:$C$1001,0)=0,"",_xlfn.XLOOKUP(C656,customers!$A$1:$A$1001,customers!$C$1:$C$1001))</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6">
        <f>INDEX(products!$A$1:$G$49,MATCH(orders!$D656,products!$A$1:$A$49,0),MATCH(orders!L$1,products!$A$1:$G$1,0))</f>
        <v>22.884999999999998</v>
      </c>
      <c r="M656" s="6">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cm="1">
        <f t="array" ref="F657">_xlfn.XLOOKUP(C657,customers!A$1:$A$1001,customers!$B$1:$B$1001,0)</f>
        <v>Maxim McParland</v>
      </c>
      <c r="G657" s="2" t="str">
        <f>IF(_xlfn.XLOOKUP(C657,customers!$A$1:$A$1001,customers!$C$1:$C$1001,0)=0,"",_xlfn.XLOOKUP(C657,customers!$A$1:$A$1001,customers!$C$1:$C$1001))</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6">
        <f>INDEX(products!$A$1:$G$49,MATCH(orders!$D657,products!$A$1:$A$49,0),MATCH(orders!L$1,products!$A$1:$G$1,0))</f>
        <v>22.884999999999998</v>
      </c>
      <c r="M657" s="6">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cm="1">
        <f t="array" ref="F658">_xlfn.XLOOKUP(C658,customers!A$1:$A$1001,customers!$B$1:$B$1001,0)</f>
        <v>Sylas Jennaroy</v>
      </c>
      <c r="G658" s="2" t="str">
        <f>IF(_xlfn.XLOOKUP(C658,customers!$A$1:$A$1001,customers!$C$1:$C$1001,0)=0,"",_xlfn.XLOOKUP(C658,customers!$A$1:$A$1001,customers!$C$1:$C$1001))</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6">
        <f>INDEX(products!$A$1:$G$49,MATCH(orders!$D658,products!$A$1:$A$49,0),MATCH(orders!L$1,products!$A$1:$G$1,0))</f>
        <v>12.95</v>
      </c>
      <c r="M658" s="6">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cm="1">
        <f t="array" ref="F659">_xlfn.XLOOKUP(C659,customers!A$1:$A$1001,customers!$B$1:$B$1001,0)</f>
        <v>Wren Place</v>
      </c>
      <c r="G659" s="2" t="str">
        <f>IF(_xlfn.XLOOKUP(C659,customers!$A$1:$A$1001,customers!$C$1:$C$1001,0)=0,"",_xlfn.XLOOKUP(C659,customers!$A$1:$A$1001,customers!$C$1:$C$1001))</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6">
        <f>INDEX(products!$A$1:$G$49,MATCH(orders!$D659,products!$A$1:$A$49,0),MATCH(orders!L$1,products!$A$1:$G$1,0))</f>
        <v>6.75</v>
      </c>
      <c r="M659" s="6">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cm="1">
        <f t="array" ref="F660">_xlfn.XLOOKUP(C660,customers!A$1:$A$1001,customers!$B$1:$B$1001,0)</f>
        <v>Janella Millett</v>
      </c>
      <c r="G660" s="2" t="str">
        <f>IF(_xlfn.XLOOKUP(C660,customers!$A$1:$A$1001,customers!$C$1:$C$1001,0)=0,"",_xlfn.XLOOKUP(C660,customers!$A$1:$A$1001,customers!$C$1:$C$1001))</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6">
        <f>INDEX(products!$A$1:$G$49,MATCH(orders!$D660,products!$A$1:$A$49,0),MATCH(orders!L$1,products!$A$1:$G$1,0))</f>
        <v>8.25</v>
      </c>
      <c r="M660" s="6">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cm="1">
        <f t="array" ref="F661">_xlfn.XLOOKUP(C661,customers!A$1:$A$1001,customers!$B$1:$B$1001,0)</f>
        <v>Dollie Gadsden</v>
      </c>
      <c r="G661" s="2" t="str">
        <f>IF(_xlfn.XLOOKUP(C661,customers!$A$1:$A$1001,customers!$C$1:$C$1001,0)=0,"",_xlfn.XLOOKUP(C661,customers!$A$1:$A$1001,customers!$C$1:$C$1001))</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6">
        <f>INDEX(products!$A$1:$G$49,MATCH(orders!$D661,products!$A$1:$A$49,0),MATCH(orders!L$1,products!$A$1:$G$1,0))</f>
        <v>22.884999999999998</v>
      </c>
      <c r="M661" s="6">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cm="1">
        <f t="array" ref="F662">_xlfn.XLOOKUP(C662,customers!A$1:$A$1001,customers!$B$1:$B$1001,0)</f>
        <v>Val Wakelin</v>
      </c>
      <c r="G662" s="2" t="str">
        <f>IF(_xlfn.XLOOKUP(C662,customers!$A$1:$A$1001,customers!$C$1:$C$1001,0)=0,"",_xlfn.XLOOKUP(C662,customers!$A$1:$A$1001,customers!$C$1:$C$1001))</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6">
        <f>INDEX(products!$A$1:$G$49,MATCH(orders!$D662,products!$A$1:$A$49,0),MATCH(orders!L$1,products!$A$1:$G$1,0))</f>
        <v>8.91</v>
      </c>
      <c r="M662" s="6">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cm="1">
        <f t="array" ref="F663">_xlfn.XLOOKUP(C663,customers!A$1:$A$1001,customers!$B$1:$B$1001,0)</f>
        <v>Annie Campsall</v>
      </c>
      <c r="G663" s="2" t="str">
        <f>IF(_xlfn.XLOOKUP(C663,customers!$A$1:$A$1001,customers!$C$1:$C$1001,0)=0,"",_xlfn.XLOOKUP(C663,customers!$A$1:$A$1001,customers!$C$1:$C$1001))</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6">
        <f>INDEX(products!$A$1:$G$49,MATCH(orders!$D663,products!$A$1:$A$49,0),MATCH(orders!L$1,products!$A$1:$G$1,0))</f>
        <v>3.375</v>
      </c>
      <c r="M663" s="6">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cm="1">
        <f t="array" ref="F664">_xlfn.XLOOKUP(C664,customers!A$1:$A$1001,customers!$B$1:$B$1001,0)</f>
        <v>Shermy Moseby</v>
      </c>
      <c r="G664" s="2" t="str">
        <f>IF(_xlfn.XLOOKUP(C664,customers!$A$1:$A$1001,customers!$C$1:$C$1001,0)=0,"",_xlfn.XLOOKUP(C664,customers!$A$1:$A$1001,customers!$C$1:$C$1001))</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6">
        <f>INDEX(products!$A$1:$G$49,MATCH(orders!$D664,products!$A$1:$A$49,0),MATCH(orders!L$1,products!$A$1:$G$1,0))</f>
        <v>29.784999999999997</v>
      </c>
      <c r="M664" s="6">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cm="1">
        <f t="array" ref="F665">_xlfn.XLOOKUP(C665,customers!A$1:$A$1001,customers!$B$1:$B$1001,0)</f>
        <v>Corrie Wass</v>
      </c>
      <c r="G665" s="2" t="str">
        <f>IF(_xlfn.XLOOKUP(C665,customers!$A$1:$A$1001,customers!$C$1:$C$1001,0)=0,"",_xlfn.XLOOKUP(C665,customers!$A$1:$A$1001,customers!$C$1:$C$1001))</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6">
        <f>INDEX(products!$A$1:$G$49,MATCH(orders!$D665,products!$A$1:$A$49,0),MATCH(orders!L$1,products!$A$1:$G$1,0))</f>
        <v>11.25</v>
      </c>
      <c r="M665" s="6">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cm="1">
        <f t="array" ref="F666">_xlfn.XLOOKUP(C666,customers!A$1:$A$1001,customers!$B$1:$B$1001,0)</f>
        <v>Ira Sjostrom</v>
      </c>
      <c r="G666" s="2" t="str">
        <f>IF(_xlfn.XLOOKUP(C666,customers!$A$1:$A$1001,customers!$C$1:$C$1001,0)=0,"",_xlfn.XLOOKUP(C666,customers!$A$1:$A$1001,customers!$C$1:$C$1001))</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6">
        <f>INDEX(products!$A$1:$G$49,MATCH(orders!$D666,products!$A$1:$A$49,0),MATCH(orders!L$1,products!$A$1:$G$1,0))</f>
        <v>12.15</v>
      </c>
      <c r="M666" s="6">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cm="1">
        <f t="array" ref="F667">_xlfn.XLOOKUP(C667,customers!A$1:$A$1001,customers!$B$1:$B$1001,0)</f>
        <v>Ira Sjostrom</v>
      </c>
      <c r="G667" s="2" t="str">
        <f>IF(_xlfn.XLOOKUP(C667,customers!$A$1:$A$1001,customers!$C$1:$C$1001,0)=0,"",_xlfn.XLOOKUP(C667,customers!$A$1:$A$1001,customers!$C$1:$C$1001))</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6">
        <f>INDEX(products!$A$1:$G$49,MATCH(orders!$D667,products!$A$1:$A$49,0),MATCH(orders!L$1,products!$A$1:$G$1,0))</f>
        <v>3.8849999999999998</v>
      </c>
      <c r="M667" s="6">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cm="1">
        <f t="array" ref="F668">_xlfn.XLOOKUP(C668,customers!A$1:$A$1001,customers!$B$1:$B$1001,0)</f>
        <v>Jermaine Branchett</v>
      </c>
      <c r="G668" s="2" t="str">
        <f>IF(_xlfn.XLOOKUP(C668,customers!$A$1:$A$1001,customers!$C$1:$C$1001,0)=0,"",_xlfn.XLOOKUP(C668,customers!$A$1:$A$1001,customers!$C$1:$C$1001))</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6">
        <f>INDEX(products!$A$1:$G$49,MATCH(orders!$D668,products!$A$1:$A$49,0),MATCH(orders!L$1,products!$A$1:$G$1,0))</f>
        <v>22.884999999999998</v>
      </c>
      <c r="M668" s="6">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cm="1">
        <f t="array" ref="F669">_xlfn.XLOOKUP(C669,customers!A$1:$A$1001,customers!$B$1:$B$1001,0)</f>
        <v>Nissie Rudland</v>
      </c>
      <c r="G669" s="2" t="str">
        <f>IF(_xlfn.XLOOKUP(C669,customers!$A$1:$A$1001,customers!$C$1:$C$1001,0)=0,"",_xlfn.XLOOKUP(C669,customers!$A$1:$A$1001,customers!$C$1:$C$1001))</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6">
        <f>INDEX(products!$A$1:$G$49,MATCH(orders!$D669,products!$A$1:$A$49,0),MATCH(orders!L$1,products!$A$1:$G$1,0))</f>
        <v>9.9499999999999993</v>
      </c>
      <c r="M669" s="6">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cm="1">
        <f t="array" ref="F670">_xlfn.XLOOKUP(C670,customers!A$1:$A$1001,customers!$B$1:$B$1001,0)</f>
        <v>Janella Millett</v>
      </c>
      <c r="G670" s="2" t="str">
        <f>IF(_xlfn.XLOOKUP(C670,customers!$A$1:$A$1001,customers!$C$1:$C$1001,0)=0,"",_xlfn.XLOOKUP(C670,customers!$A$1:$A$1001,customers!$C$1:$C$1001))</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6">
        <f>INDEX(products!$A$1:$G$49,MATCH(orders!$D670,products!$A$1:$A$49,0),MATCH(orders!L$1,products!$A$1:$G$1,0))</f>
        <v>27.484999999999996</v>
      </c>
      <c r="M670" s="6">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cm="1">
        <f t="array" ref="F671">_xlfn.XLOOKUP(C671,customers!A$1:$A$1001,customers!$B$1:$B$1001,0)</f>
        <v>Ferdie Tourry</v>
      </c>
      <c r="G671" s="2" t="str">
        <f>IF(_xlfn.XLOOKUP(C671,customers!$A$1:$A$1001,customers!$C$1:$C$1001,0)=0,"",_xlfn.XLOOKUP(C671,customers!$A$1:$A$1001,customers!$C$1:$C$1001))</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6">
        <f>INDEX(products!$A$1:$G$49,MATCH(orders!$D671,products!$A$1:$A$49,0),MATCH(orders!L$1,products!$A$1:$G$1,0))</f>
        <v>33.464999999999996</v>
      </c>
      <c r="M671" s="6">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cm="1">
        <f t="array" ref="F672">_xlfn.XLOOKUP(C672,customers!A$1:$A$1001,customers!$B$1:$B$1001,0)</f>
        <v>Cecil Weatherall</v>
      </c>
      <c r="G672" s="2" t="str">
        <f>IF(_xlfn.XLOOKUP(C672,customers!$A$1:$A$1001,customers!$C$1:$C$1001,0)=0,"",_xlfn.XLOOKUP(C672,customers!$A$1:$A$1001,customers!$C$1:$C$1001))</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6">
        <f>INDEX(products!$A$1:$G$49,MATCH(orders!$D672,products!$A$1:$A$49,0),MATCH(orders!L$1,products!$A$1:$G$1,0))</f>
        <v>4.3650000000000002</v>
      </c>
      <c r="M672" s="6">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cm="1">
        <f t="array" ref="F673">_xlfn.XLOOKUP(C673,customers!A$1:$A$1001,customers!$B$1:$B$1001,0)</f>
        <v>Gale Heindrick</v>
      </c>
      <c r="G673" s="2" t="str">
        <f>IF(_xlfn.XLOOKUP(C673,customers!$A$1:$A$1001,customers!$C$1:$C$1001,0)=0,"",_xlfn.XLOOKUP(C673,customers!$A$1:$A$1001,customers!$C$1:$C$1001))</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6">
        <f>INDEX(products!$A$1:$G$49,MATCH(orders!$D673,products!$A$1:$A$49,0),MATCH(orders!L$1,products!$A$1:$G$1,0))</f>
        <v>11.95</v>
      </c>
      <c r="M673" s="6">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cm="1">
        <f t="array" ref="F674">_xlfn.XLOOKUP(C674,customers!A$1:$A$1001,customers!$B$1:$B$1001,0)</f>
        <v>Layne Imason</v>
      </c>
      <c r="G674" s="2" t="str">
        <f>IF(_xlfn.XLOOKUP(C674,customers!$A$1:$A$1001,customers!$C$1:$C$1001,0)=0,"",_xlfn.XLOOKUP(C674,customers!$A$1:$A$1001,customers!$C$1:$C$1001))</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6">
        <f>INDEX(products!$A$1:$G$49,MATCH(orders!$D674,products!$A$1:$A$49,0),MATCH(orders!L$1,products!$A$1:$G$1,0))</f>
        <v>8.73</v>
      </c>
      <c r="M674" s="6">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cm="1">
        <f t="array" ref="F675">_xlfn.XLOOKUP(C675,customers!A$1:$A$1001,customers!$B$1:$B$1001,0)</f>
        <v>Hazel Saill</v>
      </c>
      <c r="G675" s="2" t="str">
        <f>IF(_xlfn.XLOOKUP(C675,customers!$A$1:$A$1001,customers!$C$1:$C$1001,0)=0,"",_xlfn.XLOOKUP(C675,customers!$A$1:$A$1001,customers!$C$1:$C$1001))</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6">
        <f>INDEX(products!$A$1:$G$49,MATCH(orders!$D675,products!$A$1:$A$49,0),MATCH(orders!L$1,products!$A$1:$G$1,0))</f>
        <v>13.75</v>
      </c>
      <c r="M675" s="6">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cm="1">
        <f t="array" ref="F676">_xlfn.XLOOKUP(C676,customers!A$1:$A$1001,customers!$B$1:$B$1001,0)</f>
        <v>Hermann Larvor</v>
      </c>
      <c r="G676" s="2" t="str">
        <f>IF(_xlfn.XLOOKUP(C676,customers!$A$1:$A$1001,customers!$C$1:$C$1001,0)=0,"",_xlfn.XLOOKUP(C676,customers!$A$1:$A$1001,customers!$C$1:$C$1001))</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6">
        <f>INDEX(products!$A$1:$G$49,MATCH(orders!$D676,products!$A$1:$A$49,0),MATCH(orders!L$1,products!$A$1:$G$1,0))</f>
        <v>29.784999999999997</v>
      </c>
      <c r="M676" s="6">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cm="1">
        <f t="array" ref="F677">_xlfn.XLOOKUP(C677,customers!A$1:$A$1001,customers!$B$1:$B$1001,0)</f>
        <v>Terri Lyford</v>
      </c>
      <c r="G677" s="2" t="str">
        <f>IF(_xlfn.XLOOKUP(C677,customers!$A$1:$A$1001,customers!$C$1:$C$1001,0)=0,"",_xlfn.XLOOKUP(C677,customers!$A$1:$A$1001,customers!$C$1:$C$1001))</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6">
        <f>INDEX(products!$A$1:$G$49,MATCH(orders!$D677,products!$A$1:$A$49,0),MATCH(orders!L$1,products!$A$1:$G$1,0))</f>
        <v>29.784999999999997</v>
      </c>
      <c r="M677" s="6">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cm="1">
        <f t="array" ref="F678">_xlfn.XLOOKUP(C678,customers!A$1:$A$1001,customers!$B$1:$B$1001,0)</f>
        <v>Gabey Cogan</v>
      </c>
      <c r="G678" s="2" t="str">
        <f>IF(_xlfn.XLOOKUP(C678,customers!$A$1:$A$1001,customers!$C$1:$C$1001,0)=0,"",_xlfn.XLOOKUP(C678,customers!$A$1:$A$1001,customers!$C$1:$C$1001))</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6">
        <f>INDEX(products!$A$1:$G$49,MATCH(orders!$D678,products!$A$1:$A$49,0),MATCH(orders!L$1,products!$A$1:$G$1,0))</f>
        <v>9.51</v>
      </c>
      <c r="M678" s="6">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cm="1">
        <f t="array" ref="F679">_xlfn.XLOOKUP(C679,customers!A$1:$A$1001,customers!$B$1:$B$1001,0)</f>
        <v>Charin Penwarden</v>
      </c>
      <c r="G679" s="2" t="str">
        <f>IF(_xlfn.XLOOKUP(C679,customers!$A$1:$A$1001,customers!$C$1:$C$1001,0)=0,"",_xlfn.XLOOKUP(C679,customers!$A$1:$A$1001,customers!$C$1:$C$1001))</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6">
        <f>INDEX(products!$A$1:$G$49,MATCH(orders!$D679,products!$A$1:$A$49,0),MATCH(orders!L$1,products!$A$1:$G$1,0))</f>
        <v>8.73</v>
      </c>
      <c r="M679" s="6">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cm="1">
        <f t="array" ref="F680">_xlfn.XLOOKUP(C680,customers!A$1:$A$1001,customers!$B$1:$B$1001,0)</f>
        <v>Milty Middis</v>
      </c>
      <c r="G680" s="2" t="str">
        <f>IF(_xlfn.XLOOKUP(C680,customers!$A$1:$A$1001,customers!$C$1:$C$1001,0)=0,"",_xlfn.XLOOKUP(C680,customers!$A$1:$A$1001,customers!$C$1:$C$1001))</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6">
        <f>INDEX(products!$A$1:$G$49,MATCH(orders!$D680,products!$A$1:$A$49,0),MATCH(orders!L$1,products!$A$1:$G$1,0))</f>
        <v>29.784999999999997</v>
      </c>
      <c r="M680" s="6">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cm="1">
        <f t="array" ref="F681">_xlfn.XLOOKUP(C681,customers!A$1:$A$1001,customers!$B$1:$B$1001,0)</f>
        <v>Adrianne Vairow</v>
      </c>
      <c r="G681" s="2" t="str">
        <f>IF(_xlfn.XLOOKUP(C681,customers!$A$1:$A$1001,customers!$C$1:$C$1001,0)=0,"",_xlfn.XLOOKUP(C681,customers!$A$1:$A$1001,customers!$C$1:$C$1001))</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6">
        <f>INDEX(products!$A$1:$G$49,MATCH(orders!$D681,products!$A$1:$A$49,0),MATCH(orders!L$1,products!$A$1:$G$1,0))</f>
        <v>27.484999999999996</v>
      </c>
      <c r="M681" s="6">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cm="1">
        <f t="array" ref="F682">_xlfn.XLOOKUP(C682,customers!A$1:$A$1001,customers!$B$1:$B$1001,0)</f>
        <v>Anjanette Goldie</v>
      </c>
      <c r="G682" s="2" t="str">
        <f>IF(_xlfn.XLOOKUP(C682,customers!$A$1:$A$1001,customers!$C$1:$C$1001,0)=0,"",_xlfn.XLOOKUP(C682,customers!$A$1:$A$1001,customers!$C$1:$C$1001))</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6">
        <f>INDEX(products!$A$1:$G$49,MATCH(orders!$D682,products!$A$1:$A$49,0),MATCH(orders!L$1,products!$A$1:$G$1,0))</f>
        <v>11.25</v>
      </c>
      <c r="M682" s="6">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cm="1">
        <f t="array" ref="F683">_xlfn.XLOOKUP(C683,customers!A$1:$A$1001,customers!$B$1:$B$1001,0)</f>
        <v>Nicky Ayris</v>
      </c>
      <c r="G683" s="2" t="str">
        <f>IF(_xlfn.XLOOKUP(C683,customers!$A$1:$A$1001,customers!$C$1:$C$1001,0)=0,"",_xlfn.XLOOKUP(C683,customers!$A$1:$A$1001,customers!$C$1:$C$1001))</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6">
        <f>INDEX(products!$A$1:$G$49,MATCH(orders!$D683,products!$A$1:$A$49,0),MATCH(orders!L$1,products!$A$1:$G$1,0))</f>
        <v>4.7549999999999999</v>
      </c>
      <c r="M683" s="6">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cm="1">
        <f t="array" ref="F684">_xlfn.XLOOKUP(C684,customers!A$1:$A$1001,customers!$B$1:$B$1001,0)</f>
        <v>Laryssa Benediktovich</v>
      </c>
      <c r="G684" s="2" t="str">
        <f>IF(_xlfn.XLOOKUP(C684,customers!$A$1:$A$1001,customers!$C$1:$C$1001,0)=0,"",_xlfn.XLOOKUP(C684,customers!$A$1:$A$1001,customers!$C$1:$C$1001))</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6">
        <f>INDEX(products!$A$1:$G$49,MATCH(orders!$D684,products!$A$1:$A$49,0),MATCH(orders!L$1,products!$A$1:$G$1,0))</f>
        <v>4.125</v>
      </c>
      <c r="M684" s="6">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cm="1">
        <f t="array" ref="F685">_xlfn.XLOOKUP(C685,customers!A$1:$A$1001,customers!$B$1:$B$1001,0)</f>
        <v>Theo Jacobovitz</v>
      </c>
      <c r="G685" s="2" t="str">
        <f>IF(_xlfn.XLOOKUP(C685,customers!$A$1:$A$1001,customers!$C$1:$C$1001,0)=0,"",_xlfn.XLOOKUP(C685,customers!$A$1:$A$1001,customers!$C$1:$C$1001))</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6">
        <f>INDEX(products!$A$1:$G$49,MATCH(orders!$D685,products!$A$1:$A$49,0),MATCH(orders!L$1,products!$A$1:$G$1,0))</f>
        <v>7.77</v>
      </c>
      <c r="M685" s="6">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cm="1">
        <f t="array" ref="F686">_xlfn.XLOOKUP(C686,customers!A$1:$A$1001,customers!$B$1:$B$1001,0)</f>
        <v>Becca Ableson</v>
      </c>
      <c r="G686" s="2" t="str">
        <f>IF(_xlfn.XLOOKUP(C686,customers!$A$1:$A$1001,customers!$C$1:$C$1001,0)=0,"",_xlfn.XLOOKUP(C686,customers!$A$1:$A$1001,customers!$C$1:$C$1001))</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6">
        <f>INDEX(products!$A$1:$G$49,MATCH(orders!$D686,products!$A$1:$A$49,0),MATCH(orders!L$1,products!$A$1:$G$1,0))</f>
        <v>11.95</v>
      </c>
      <c r="M686" s="6">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cm="1">
        <f t="array" ref="F687">_xlfn.XLOOKUP(C687,customers!A$1:$A$1001,customers!$B$1:$B$1001,0)</f>
        <v>Jeno Druitt</v>
      </c>
      <c r="G687" s="2" t="str">
        <f>IF(_xlfn.XLOOKUP(C687,customers!$A$1:$A$1001,customers!$C$1:$C$1001,0)=0,"",_xlfn.XLOOKUP(C687,customers!$A$1:$A$1001,customers!$C$1:$C$1001))</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6">
        <f>INDEX(products!$A$1:$G$49,MATCH(orders!$D687,products!$A$1:$A$49,0),MATCH(orders!L$1,products!$A$1:$G$1,0))</f>
        <v>36.454999999999998</v>
      </c>
      <c r="M687" s="6">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cm="1">
        <f t="array" ref="F688">_xlfn.XLOOKUP(C688,customers!A$1:$A$1001,customers!$B$1:$B$1001,0)</f>
        <v>Deonne Shortall</v>
      </c>
      <c r="G688" s="2" t="str">
        <f>IF(_xlfn.XLOOKUP(C688,customers!$A$1:$A$1001,customers!$C$1:$C$1001,0)=0,"",_xlfn.XLOOKUP(C688,customers!$A$1:$A$1001,customers!$C$1:$C$1001))</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6">
        <f>INDEX(products!$A$1:$G$49,MATCH(orders!$D688,products!$A$1:$A$49,0),MATCH(orders!L$1,products!$A$1:$G$1,0))</f>
        <v>2.6849999999999996</v>
      </c>
      <c r="M688" s="6">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cm="1">
        <f t="array" ref="F689">_xlfn.XLOOKUP(C689,customers!A$1:$A$1001,customers!$B$1:$B$1001,0)</f>
        <v>Wilton Cottier</v>
      </c>
      <c r="G689" s="2" t="str">
        <f>IF(_xlfn.XLOOKUP(C689,customers!$A$1:$A$1001,customers!$C$1:$C$1001,0)=0,"",_xlfn.XLOOKUP(C689,customers!$A$1:$A$1001,customers!$C$1:$C$1001))</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6">
        <f>INDEX(products!$A$1:$G$49,MATCH(orders!$D689,products!$A$1:$A$49,0),MATCH(orders!L$1,products!$A$1:$G$1,0))</f>
        <v>8.25</v>
      </c>
      <c r="M689" s="6">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cm="1">
        <f t="array" ref="F690">_xlfn.XLOOKUP(C690,customers!A$1:$A$1001,customers!$B$1:$B$1001,0)</f>
        <v>Kevan Grinsted</v>
      </c>
      <c r="G690" s="2" t="str">
        <f>IF(_xlfn.XLOOKUP(C690,customers!$A$1:$A$1001,customers!$C$1:$C$1001,0)=0,"",_xlfn.XLOOKUP(C690,customers!$A$1:$A$1001,customers!$C$1:$C$1001))</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6">
        <f>INDEX(products!$A$1:$G$49,MATCH(orders!$D690,products!$A$1:$A$49,0),MATCH(orders!L$1,products!$A$1:$G$1,0))</f>
        <v>12.95</v>
      </c>
      <c r="M690" s="6">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cm="1">
        <f t="array" ref="F691">_xlfn.XLOOKUP(C691,customers!A$1:$A$1001,customers!$B$1:$B$1001,0)</f>
        <v>Dionne Skyner</v>
      </c>
      <c r="G691" s="2" t="str">
        <f>IF(_xlfn.XLOOKUP(C691,customers!$A$1:$A$1001,customers!$C$1:$C$1001,0)=0,"",_xlfn.XLOOKUP(C691,customers!$A$1:$A$1001,customers!$C$1:$C$1001))</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6">
        <f>INDEX(products!$A$1:$G$49,MATCH(orders!$D691,products!$A$1:$A$49,0),MATCH(orders!L$1,products!$A$1:$G$1,0))</f>
        <v>6.75</v>
      </c>
      <c r="M691" s="6">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cm="1">
        <f t="array" ref="F692">_xlfn.XLOOKUP(C692,customers!A$1:$A$1001,customers!$B$1:$B$1001,0)</f>
        <v>Francesco Dressel</v>
      </c>
      <c r="G692" s="2" t="str">
        <f>IF(_xlfn.XLOOKUP(C692,customers!$A$1:$A$1001,customers!$C$1:$C$1001,0)=0,"",_xlfn.XLOOKUP(C692,customers!$A$1:$A$1001,customers!$C$1:$C$1001))</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6">
        <f>INDEX(products!$A$1:$G$49,MATCH(orders!$D692,products!$A$1:$A$49,0),MATCH(orders!L$1,products!$A$1:$G$1,0))</f>
        <v>29.784999999999997</v>
      </c>
      <c r="M692" s="6">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cm="1">
        <f t="array" ref="F693">_xlfn.XLOOKUP(C693,customers!A$1:$A$1001,customers!$B$1:$B$1001,0)</f>
        <v>Jimmy Dymoke</v>
      </c>
      <c r="G693" s="2" t="str">
        <f>IF(_xlfn.XLOOKUP(C693,customers!$A$1:$A$1001,customers!$C$1:$C$1001,0)=0,"",_xlfn.XLOOKUP(C693,customers!$A$1:$A$1001,customers!$C$1:$C$1001))</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6">
        <f>INDEX(products!$A$1:$G$49,MATCH(orders!$D693,products!$A$1:$A$49,0),MATCH(orders!L$1,products!$A$1:$G$1,0))</f>
        <v>11.25</v>
      </c>
      <c r="M693" s="6">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cm="1">
        <f t="array" ref="F694">_xlfn.XLOOKUP(C694,customers!A$1:$A$1001,customers!$B$1:$B$1001,0)</f>
        <v>Ambrosio Weinmann</v>
      </c>
      <c r="G694" s="2" t="str">
        <f>IF(_xlfn.XLOOKUP(C694,customers!$A$1:$A$1001,customers!$C$1:$C$1001,0)=0,"",_xlfn.XLOOKUP(C694,customers!$A$1:$A$1001,customers!$C$1:$C$1001))</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6">
        <f>INDEX(products!$A$1:$G$49,MATCH(orders!$D694,products!$A$1:$A$49,0),MATCH(orders!L$1,products!$A$1:$G$1,0))</f>
        <v>12.95</v>
      </c>
      <c r="M694" s="6">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cm="1">
        <f t="array" ref="F695">_xlfn.XLOOKUP(C695,customers!A$1:$A$1001,customers!$B$1:$B$1001,0)</f>
        <v>Elden Andriessen</v>
      </c>
      <c r="G695" s="2" t="str">
        <f>IF(_xlfn.XLOOKUP(C695,customers!$A$1:$A$1001,customers!$C$1:$C$1001,0)=0,"",_xlfn.XLOOKUP(C695,customers!$A$1:$A$1001,customers!$C$1:$C$1001))</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6">
        <f>INDEX(products!$A$1:$G$49,MATCH(orders!$D695,products!$A$1:$A$49,0),MATCH(orders!L$1,products!$A$1:$G$1,0))</f>
        <v>25.874999999999996</v>
      </c>
      <c r="M695" s="6">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cm="1">
        <f t="array" ref="F696">_xlfn.XLOOKUP(C696,customers!A$1:$A$1001,customers!$B$1:$B$1001,0)</f>
        <v>Roxie Deaconson</v>
      </c>
      <c r="G696" s="2" t="str">
        <f>IF(_xlfn.XLOOKUP(C696,customers!$A$1:$A$1001,customers!$C$1:$C$1001,0)=0,"",_xlfn.XLOOKUP(C696,customers!$A$1:$A$1001,customers!$C$1:$C$1001))</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6">
        <f>INDEX(products!$A$1:$G$49,MATCH(orders!$D696,products!$A$1:$A$49,0),MATCH(orders!L$1,products!$A$1:$G$1,0))</f>
        <v>7.29</v>
      </c>
      <c r="M696" s="6">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cm="1">
        <f t="array" ref="F697">_xlfn.XLOOKUP(C697,customers!A$1:$A$1001,customers!$B$1:$B$1001,0)</f>
        <v>Davida Caro</v>
      </c>
      <c r="G697" s="2" t="str">
        <f>IF(_xlfn.XLOOKUP(C697,customers!$A$1:$A$1001,customers!$C$1:$C$1001,0)=0,"",_xlfn.XLOOKUP(C697,customers!$A$1:$A$1001,customers!$C$1:$C$1001))</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6">
        <f>INDEX(products!$A$1:$G$49,MATCH(orders!$D697,products!$A$1:$A$49,0),MATCH(orders!L$1,products!$A$1:$G$1,0))</f>
        <v>36.454999999999998</v>
      </c>
      <c r="M697" s="6">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cm="1">
        <f t="array" ref="F698">_xlfn.XLOOKUP(C698,customers!A$1:$A$1001,customers!$B$1:$B$1001,0)</f>
        <v>Johna Bluck</v>
      </c>
      <c r="G698" s="2" t="str">
        <f>IF(_xlfn.XLOOKUP(C698,customers!$A$1:$A$1001,customers!$C$1:$C$1001,0)=0,"",_xlfn.XLOOKUP(C698,customers!$A$1:$A$1001,customers!$C$1:$C$1001))</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6">
        <f>INDEX(products!$A$1:$G$49,MATCH(orders!$D698,products!$A$1:$A$49,0),MATCH(orders!L$1,products!$A$1:$G$1,0))</f>
        <v>7.77</v>
      </c>
      <c r="M698" s="6">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cm="1">
        <f t="array" ref="F699">_xlfn.XLOOKUP(C699,customers!A$1:$A$1001,customers!$B$1:$B$1001,0)</f>
        <v>Myrle Dearden</v>
      </c>
      <c r="G699" s="2" t="str">
        <f>IF(_xlfn.XLOOKUP(C699,customers!$A$1:$A$1001,customers!$C$1:$C$1001,0)=0,"",_xlfn.XLOOKUP(C699,customers!$A$1:$A$1001,customers!$C$1:$C$1001))</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6">
        <f>INDEX(products!$A$1:$G$49,MATCH(orders!$D699,products!$A$1:$A$49,0),MATCH(orders!L$1,products!$A$1:$G$1,0))</f>
        <v>6.75</v>
      </c>
      <c r="M699" s="6">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cm="1">
        <f t="array" ref="F700">_xlfn.XLOOKUP(C700,customers!A$1:$A$1001,customers!$B$1:$B$1001,0)</f>
        <v>Jimmy Dymoke</v>
      </c>
      <c r="G700" s="2" t="str">
        <f>IF(_xlfn.XLOOKUP(C700,customers!$A$1:$A$1001,customers!$C$1:$C$1001,0)=0,"",_xlfn.XLOOKUP(C700,customers!$A$1:$A$1001,customers!$C$1:$C$1001))</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6">
        <f>INDEX(products!$A$1:$G$49,MATCH(orders!$D700,products!$A$1:$A$49,0),MATCH(orders!L$1,products!$A$1:$G$1,0))</f>
        <v>12.95</v>
      </c>
      <c r="M700" s="6">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cm="1">
        <f t="array" ref="F701">_xlfn.XLOOKUP(C701,customers!A$1:$A$1001,customers!$B$1:$B$1001,0)</f>
        <v>Orland Tadman</v>
      </c>
      <c r="G701" s="2" t="str">
        <f>IF(_xlfn.XLOOKUP(C701,customers!$A$1:$A$1001,customers!$C$1:$C$1001,0)=0,"",_xlfn.XLOOKUP(C701,customers!$A$1:$A$1001,customers!$C$1:$C$1001))</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6">
        <f>INDEX(products!$A$1:$G$49,MATCH(orders!$D701,products!$A$1:$A$49,0),MATCH(orders!L$1,products!$A$1:$G$1,0))</f>
        <v>5.97</v>
      </c>
      <c r="M701" s="6">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cm="1">
        <f t="array" ref="F702">_xlfn.XLOOKUP(C702,customers!A$1:$A$1001,customers!$B$1:$B$1001,0)</f>
        <v>Barrett Gudde</v>
      </c>
      <c r="G702" s="2" t="str">
        <f>IF(_xlfn.XLOOKUP(C702,customers!$A$1:$A$1001,customers!$C$1:$C$1001,0)=0,"",_xlfn.XLOOKUP(C702,customers!$A$1:$A$1001,customers!$C$1:$C$1001))</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6">
        <f>INDEX(products!$A$1:$G$49,MATCH(orders!$D702,products!$A$1:$A$49,0),MATCH(orders!L$1,products!$A$1:$G$1,0))</f>
        <v>9.51</v>
      </c>
      <c r="M702" s="6">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cm="1">
        <f t="array" ref="F703">_xlfn.XLOOKUP(C703,customers!A$1:$A$1001,customers!$B$1:$B$1001,0)</f>
        <v>Nathan Sictornes</v>
      </c>
      <c r="G703" s="2" t="str">
        <f>IF(_xlfn.XLOOKUP(C703,customers!$A$1:$A$1001,customers!$C$1:$C$1001,0)=0,"",_xlfn.XLOOKUP(C703,customers!$A$1:$A$1001,customers!$C$1:$C$1001))</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6">
        <f>INDEX(products!$A$1:$G$49,MATCH(orders!$D703,products!$A$1:$A$49,0),MATCH(orders!L$1,products!$A$1:$G$1,0))</f>
        <v>5.97</v>
      </c>
      <c r="M703" s="6">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cm="1">
        <f t="array" ref="F704">_xlfn.XLOOKUP(C704,customers!A$1:$A$1001,customers!$B$1:$B$1001,0)</f>
        <v>Vivyan Dunning</v>
      </c>
      <c r="G704" s="2" t="str">
        <f>IF(_xlfn.XLOOKUP(C704,customers!$A$1:$A$1001,customers!$C$1:$C$1001,0)=0,"",_xlfn.XLOOKUP(C704,customers!$A$1:$A$1001,customers!$C$1:$C$1001))</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6">
        <f>INDEX(products!$A$1:$G$49,MATCH(orders!$D704,products!$A$1:$A$49,0),MATCH(orders!L$1,products!$A$1:$G$1,0))</f>
        <v>7.77</v>
      </c>
      <c r="M704" s="6">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cm="1">
        <f t="array" ref="F705">_xlfn.XLOOKUP(C705,customers!A$1:$A$1001,customers!$B$1:$B$1001,0)</f>
        <v>Doralin Baison</v>
      </c>
      <c r="G705" s="2" t="str">
        <f>IF(_xlfn.XLOOKUP(C705,customers!$A$1:$A$1001,customers!$C$1:$C$1001,0)=0,"",_xlfn.XLOOKUP(C705,customers!$A$1:$A$1001,customers!$C$1:$C$1001))</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6">
        <f>INDEX(products!$A$1:$G$49,MATCH(orders!$D705,products!$A$1:$A$49,0),MATCH(orders!L$1,products!$A$1:$G$1,0))</f>
        <v>29.784999999999997</v>
      </c>
      <c r="M705" s="6">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cm="1">
        <f t="array" ref="F706">_xlfn.XLOOKUP(C706,customers!A$1:$A$1001,customers!$B$1:$B$1001,0)</f>
        <v>Josefina Ferens</v>
      </c>
      <c r="G706" s="2" t="str">
        <f>IF(_xlfn.XLOOKUP(C706,customers!$A$1:$A$1001,customers!$C$1:$C$1001,0)=0,"",_xlfn.XLOOKUP(C706,customers!$A$1:$A$1001,customers!$C$1:$C$1001))</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6">
        <f>INDEX(products!$A$1:$G$49,MATCH(orders!$D706,products!$A$1:$A$49,0),MATCH(orders!L$1,products!$A$1:$G$1,0))</f>
        <v>3.645</v>
      </c>
      <c r="M706" s="6">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cm="1">
        <f t="array" ref="F707">_xlfn.XLOOKUP(C707,customers!A$1:$A$1001,customers!$B$1:$B$1001,0)</f>
        <v>Shelley Gehring</v>
      </c>
      <c r="G707" s="2" t="str">
        <f>IF(_xlfn.XLOOKUP(C707,customers!$A$1:$A$1001,customers!$C$1:$C$1001,0)=0,"",_xlfn.XLOOKUP(C707,customers!$A$1:$A$1001,customers!$C$1:$C$1001))</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6">
        <f>INDEX(products!$A$1:$G$49,MATCH(orders!$D707,products!$A$1:$A$49,0),MATCH(orders!L$1,products!$A$1:$G$1,0))</f>
        <v>8.91</v>
      </c>
      <c r="M707" s="6">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cm="1">
        <f t="array" ref="F708">_xlfn.XLOOKUP(C708,customers!A$1:$A$1001,customers!$B$1:$B$1001,0)</f>
        <v>Barrie Fallowes</v>
      </c>
      <c r="G708" s="2" t="str">
        <f>IF(_xlfn.XLOOKUP(C708,customers!$A$1:$A$1001,customers!$C$1:$C$1001,0)=0,"",_xlfn.XLOOKUP(C708,customers!$A$1:$A$1001,customers!$C$1:$C$1001))</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6">
        <f>INDEX(products!$A$1:$G$49,MATCH(orders!$D708,products!$A$1:$A$49,0),MATCH(orders!L$1,products!$A$1:$G$1,0))</f>
        <v>4.125</v>
      </c>
      <c r="M708" s="6">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cm="1">
        <f t="array" ref="F709">_xlfn.XLOOKUP(C709,customers!A$1:$A$1001,customers!$B$1:$B$1001,0)</f>
        <v>Nicolas Aiton</v>
      </c>
      <c r="G709" s="2" t="str">
        <f>IF(_xlfn.XLOOKUP(C709,customers!$A$1:$A$1001,customers!$C$1:$C$1001,0)=0,"",_xlfn.XLOOKUP(C709,customers!$A$1:$A$1001,customers!$C$1:$C$1001))</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6">
        <f>INDEX(products!$A$1:$G$49,MATCH(orders!$D709,products!$A$1:$A$49,0),MATCH(orders!L$1,products!$A$1:$G$1,0))</f>
        <v>12.95</v>
      </c>
      <c r="M709" s="6">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cm="1">
        <f t="array" ref="F710">_xlfn.XLOOKUP(C710,customers!A$1:$A$1001,customers!$B$1:$B$1001,0)</f>
        <v>Shelli De Banke</v>
      </c>
      <c r="G710" s="2" t="str">
        <f>IF(_xlfn.XLOOKUP(C710,customers!$A$1:$A$1001,customers!$C$1:$C$1001,0)=0,"",_xlfn.XLOOKUP(C710,customers!$A$1:$A$1001,customers!$C$1:$C$1001))</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6">
        <f>INDEX(products!$A$1:$G$49,MATCH(orders!$D710,products!$A$1:$A$49,0),MATCH(orders!L$1,products!$A$1:$G$1,0))</f>
        <v>6.75</v>
      </c>
      <c r="M710" s="6">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cm="1">
        <f t="array" ref="F711">_xlfn.XLOOKUP(C711,customers!A$1:$A$1001,customers!$B$1:$B$1001,0)</f>
        <v>Lyell Murch</v>
      </c>
      <c r="G711" s="2" t="str">
        <f>IF(_xlfn.XLOOKUP(C711,customers!$A$1:$A$1001,customers!$C$1:$C$1001,0)=0,"",_xlfn.XLOOKUP(C711,customers!$A$1:$A$1001,customers!$C$1:$C$1001))</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6">
        <f>INDEX(products!$A$1:$G$49,MATCH(orders!$D711,products!$A$1:$A$49,0),MATCH(orders!L$1,products!$A$1:$G$1,0))</f>
        <v>8.91</v>
      </c>
      <c r="M711" s="6">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cm="1">
        <f t="array" ref="F712">_xlfn.XLOOKUP(C712,customers!A$1:$A$1001,customers!$B$1:$B$1001,0)</f>
        <v>Stearne Count</v>
      </c>
      <c r="G712" s="2" t="str">
        <f>IF(_xlfn.XLOOKUP(C712,customers!$A$1:$A$1001,customers!$C$1:$C$1001,0)=0,"",_xlfn.XLOOKUP(C712,customers!$A$1:$A$1001,customers!$C$1:$C$1001))</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6">
        <f>INDEX(products!$A$1:$G$49,MATCH(orders!$D712,products!$A$1:$A$49,0),MATCH(orders!L$1,products!$A$1:$G$1,0))</f>
        <v>8.25</v>
      </c>
      <c r="M712" s="6">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cm="1">
        <f t="array" ref="F713">_xlfn.XLOOKUP(C713,customers!A$1:$A$1001,customers!$B$1:$B$1001,0)</f>
        <v>Selia Ragles</v>
      </c>
      <c r="G713" s="2" t="str">
        <f>IF(_xlfn.XLOOKUP(C713,customers!$A$1:$A$1001,customers!$C$1:$C$1001,0)=0,"",_xlfn.XLOOKUP(C713,customers!$A$1:$A$1001,customers!$C$1:$C$1001))</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6">
        <f>INDEX(products!$A$1:$G$49,MATCH(orders!$D713,products!$A$1:$A$49,0),MATCH(orders!L$1,products!$A$1:$G$1,0))</f>
        <v>2.9849999999999999</v>
      </c>
      <c r="M713" s="6">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cm="1">
        <f t="array" ref="F714">_xlfn.XLOOKUP(C714,customers!A$1:$A$1001,customers!$B$1:$B$1001,0)</f>
        <v>Silas Deehan</v>
      </c>
      <c r="G714" s="2" t="str">
        <f>IF(_xlfn.XLOOKUP(C714,customers!$A$1:$A$1001,customers!$C$1:$C$1001,0)=0,"",_xlfn.XLOOKUP(C714,customers!$A$1:$A$1001,customers!$C$1:$C$1001))</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6">
        <f>INDEX(products!$A$1:$G$49,MATCH(orders!$D714,products!$A$1:$A$49,0),MATCH(orders!L$1,products!$A$1:$G$1,0))</f>
        <v>8.25</v>
      </c>
      <c r="M714" s="6">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cm="1">
        <f t="array" ref="F715">_xlfn.XLOOKUP(C715,customers!A$1:$A$1001,customers!$B$1:$B$1001,0)</f>
        <v>Sacha Bruun</v>
      </c>
      <c r="G715" s="2" t="str">
        <f>IF(_xlfn.XLOOKUP(C715,customers!$A$1:$A$1001,customers!$C$1:$C$1001,0)=0,"",_xlfn.XLOOKUP(C715,customers!$A$1:$A$1001,customers!$C$1:$C$1001))</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6">
        <f>INDEX(products!$A$1:$G$49,MATCH(orders!$D715,products!$A$1:$A$49,0),MATCH(orders!L$1,products!$A$1:$G$1,0))</f>
        <v>2.9849999999999999</v>
      </c>
      <c r="M715" s="6">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cm="1">
        <f t="array" ref="F716">_xlfn.XLOOKUP(C716,customers!A$1:$A$1001,customers!$B$1:$B$1001,0)</f>
        <v>Alon Pllu</v>
      </c>
      <c r="G716" s="2" t="str">
        <f>IF(_xlfn.XLOOKUP(C716,customers!$A$1:$A$1001,customers!$C$1:$C$1001,0)=0,"",_xlfn.XLOOKUP(C716,customers!$A$1:$A$1001,customers!$C$1:$C$1001))</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6">
        <f>INDEX(products!$A$1:$G$49,MATCH(orders!$D716,products!$A$1:$A$49,0),MATCH(orders!L$1,products!$A$1:$G$1,0))</f>
        <v>3.645</v>
      </c>
      <c r="M716" s="6">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cm="1">
        <f t="array" ref="F717">_xlfn.XLOOKUP(C717,customers!A$1:$A$1001,customers!$B$1:$B$1001,0)</f>
        <v>Gilberto Cornier</v>
      </c>
      <c r="G717" s="2" t="str">
        <f>IF(_xlfn.XLOOKUP(C717,customers!$A$1:$A$1001,customers!$C$1:$C$1001,0)=0,"",_xlfn.XLOOKUP(C717,customers!$A$1:$A$1001,customers!$C$1:$C$1001))</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6">
        <f>INDEX(products!$A$1:$G$49,MATCH(orders!$D717,products!$A$1:$A$49,0),MATCH(orders!L$1,products!$A$1:$G$1,0))</f>
        <v>14.85</v>
      </c>
      <c r="M717" s="6">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cm="1">
        <f t="array" ref="F718">_xlfn.XLOOKUP(C718,customers!A$1:$A$1001,customers!$B$1:$B$1001,0)</f>
        <v>Jimmy Dymoke</v>
      </c>
      <c r="G718" s="2" t="str">
        <f>IF(_xlfn.XLOOKUP(C718,customers!$A$1:$A$1001,customers!$C$1:$C$1001,0)=0,"",_xlfn.XLOOKUP(C718,customers!$A$1:$A$1001,customers!$C$1:$C$1001))</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6">
        <f>INDEX(products!$A$1:$G$49,MATCH(orders!$D718,products!$A$1:$A$49,0),MATCH(orders!L$1,products!$A$1:$G$1,0))</f>
        <v>11.95</v>
      </c>
      <c r="M718" s="6">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cm="1">
        <f t="array" ref="F719">_xlfn.XLOOKUP(C719,customers!A$1:$A$1001,customers!$B$1:$B$1001,0)</f>
        <v>Willabella Harvison</v>
      </c>
      <c r="G719" s="2" t="str">
        <f>IF(_xlfn.XLOOKUP(C719,customers!$A$1:$A$1001,customers!$C$1:$C$1001,0)=0,"",_xlfn.XLOOKUP(C719,customers!$A$1:$A$1001,customers!$C$1:$C$1001))</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6">
        <f>INDEX(products!$A$1:$G$49,MATCH(orders!$D719,products!$A$1:$A$49,0),MATCH(orders!L$1,products!$A$1:$G$1,0))</f>
        <v>22.884999999999998</v>
      </c>
      <c r="M719" s="6">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cm="1">
        <f t="array" ref="F720">_xlfn.XLOOKUP(C720,customers!A$1:$A$1001,customers!$B$1:$B$1001,0)</f>
        <v>Darice Heaford</v>
      </c>
      <c r="G720" s="2" t="str">
        <f>IF(_xlfn.XLOOKUP(C720,customers!$A$1:$A$1001,customers!$C$1:$C$1001,0)=0,"",_xlfn.XLOOKUP(C720,customers!$A$1:$A$1001,customers!$C$1:$C$1001))</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6">
        <f>INDEX(products!$A$1:$G$49,MATCH(orders!$D720,products!$A$1:$A$49,0),MATCH(orders!L$1,products!$A$1:$G$1,0))</f>
        <v>12.95</v>
      </c>
      <c r="M720" s="6">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cm="1">
        <f t="array" ref="F721">_xlfn.XLOOKUP(C721,customers!A$1:$A$1001,customers!$B$1:$B$1001,0)</f>
        <v>Granger Fantham</v>
      </c>
      <c r="G721" s="2" t="str">
        <f>IF(_xlfn.XLOOKUP(C721,customers!$A$1:$A$1001,customers!$C$1:$C$1001,0)=0,"",_xlfn.XLOOKUP(C721,customers!$A$1:$A$1001,customers!$C$1:$C$1001))</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6">
        <f>INDEX(products!$A$1:$G$49,MATCH(orders!$D721,products!$A$1:$A$49,0),MATCH(orders!L$1,products!$A$1:$G$1,0))</f>
        <v>15.85</v>
      </c>
      <c r="M721" s="6">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cm="1">
        <f t="array" ref="F722">_xlfn.XLOOKUP(C722,customers!A$1:$A$1001,customers!$B$1:$B$1001,0)</f>
        <v>Reynolds Crookshanks</v>
      </c>
      <c r="G722" s="2" t="str">
        <f>IF(_xlfn.XLOOKUP(C722,customers!$A$1:$A$1001,customers!$C$1:$C$1001,0)=0,"",_xlfn.XLOOKUP(C722,customers!$A$1:$A$1001,customers!$C$1:$C$1001))</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6">
        <f>INDEX(products!$A$1:$G$49,MATCH(orders!$D722,products!$A$1:$A$49,0),MATCH(orders!L$1,products!$A$1:$G$1,0))</f>
        <v>7.29</v>
      </c>
      <c r="M722" s="6">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cm="1">
        <f t="array" ref="F723">_xlfn.XLOOKUP(C723,customers!A$1:$A$1001,customers!$B$1:$B$1001,0)</f>
        <v>Niels Leake</v>
      </c>
      <c r="G723" s="2" t="str">
        <f>IF(_xlfn.XLOOKUP(C723,customers!$A$1:$A$1001,customers!$C$1:$C$1001,0)=0,"",_xlfn.XLOOKUP(C723,customers!$A$1:$A$1001,customers!$C$1:$C$1001))</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6">
        <f>INDEX(products!$A$1:$G$49,MATCH(orders!$D723,products!$A$1:$A$49,0),MATCH(orders!L$1,products!$A$1:$G$1,0))</f>
        <v>2.9849999999999999</v>
      </c>
      <c r="M723" s="6">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cm="1">
        <f t="array" ref="F724">_xlfn.XLOOKUP(C724,customers!A$1:$A$1001,customers!$B$1:$B$1001,0)</f>
        <v>Hetti Measures</v>
      </c>
      <c r="G724" s="2" t="str">
        <f>IF(_xlfn.XLOOKUP(C724,customers!$A$1:$A$1001,customers!$C$1:$C$1001,0)=0,"",_xlfn.XLOOKUP(C724,customers!$A$1:$A$1001,customers!$C$1:$C$1001))</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6">
        <f>INDEX(products!$A$1:$G$49,MATCH(orders!$D724,products!$A$1:$A$49,0),MATCH(orders!L$1,products!$A$1:$G$1,0))</f>
        <v>12.15</v>
      </c>
      <c r="M724" s="6">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cm="1">
        <f t="array" ref="F725">_xlfn.XLOOKUP(C725,customers!A$1:$A$1001,customers!$B$1:$B$1001,0)</f>
        <v>Gay Eilhersen</v>
      </c>
      <c r="G725" s="2" t="str">
        <f>IF(_xlfn.XLOOKUP(C725,customers!$A$1:$A$1001,customers!$C$1:$C$1001,0)=0,"",_xlfn.XLOOKUP(C725,customers!$A$1:$A$1001,customers!$C$1:$C$1001))</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6">
        <f>INDEX(products!$A$1:$G$49,MATCH(orders!$D725,products!$A$1:$A$49,0),MATCH(orders!L$1,products!$A$1:$G$1,0))</f>
        <v>31.624999999999996</v>
      </c>
      <c r="M725" s="6">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cm="1">
        <f t="array" ref="F726">_xlfn.XLOOKUP(C726,customers!A$1:$A$1001,customers!$B$1:$B$1001,0)</f>
        <v>Nico Hubert</v>
      </c>
      <c r="G726" s="2" t="str">
        <f>IF(_xlfn.XLOOKUP(C726,customers!$A$1:$A$1001,customers!$C$1:$C$1001,0)=0,"",_xlfn.XLOOKUP(C726,customers!$A$1:$A$1001,customers!$C$1:$C$1001))</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6">
        <f>INDEX(products!$A$1:$G$49,MATCH(orders!$D726,products!$A$1:$A$49,0),MATCH(orders!L$1,products!$A$1:$G$1,0))</f>
        <v>3.375</v>
      </c>
      <c r="M726" s="6">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cm="1">
        <f t="array" ref="F727">_xlfn.XLOOKUP(C727,customers!A$1:$A$1001,customers!$B$1:$B$1001,0)</f>
        <v>Cristina Aleixo</v>
      </c>
      <c r="G727" s="2" t="str">
        <f>IF(_xlfn.XLOOKUP(C727,customers!$A$1:$A$1001,customers!$C$1:$C$1001,0)=0,"",_xlfn.XLOOKUP(C727,customers!$A$1:$A$1001,customers!$C$1:$C$1001))</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6">
        <f>INDEX(products!$A$1:$G$49,MATCH(orders!$D727,products!$A$1:$A$49,0),MATCH(orders!L$1,products!$A$1:$G$1,0))</f>
        <v>3.8849999999999998</v>
      </c>
      <c r="M727" s="6">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cm="1">
        <f t="array" ref="F728">_xlfn.XLOOKUP(C728,customers!A$1:$A$1001,customers!$B$1:$B$1001,0)</f>
        <v>Derrek Allpress</v>
      </c>
      <c r="G728" s="2" t="str">
        <f>IF(_xlfn.XLOOKUP(C728,customers!$A$1:$A$1001,customers!$C$1:$C$1001,0)=0,"",_xlfn.XLOOKUP(C728,customers!$A$1:$A$1001,customers!$C$1:$C$1001))</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6">
        <f>INDEX(products!$A$1:$G$49,MATCH(orders!$D728,products!$A$1:$A$49,0),MATCH(orders!L$1,products!$A$1:$G$1,0))</f>
        <v>36.454999999999998</v>
      </c>
      <c r="M728" s="6">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cm="1">
        <f t="array" ref="F729">_xlfn.XLOOKUP(C729,customers!A$1:$A$1001,customers!$B$1:$B$1001,0)</f>
        <v>Rikki Tomkowicz</v>
      </c>
      <c r="G729" s="2" t="str">
        <f>IF(_xlfn.XLOOKUP(C729,customers!$A$1:$A$1001,customers!$C$1:$C$1001,0)=0,"",_xlfn.XLOOKUP(C729,customers!$A$1:$A$1001,customers!$C$1:$C$1001))</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6">
        <f>INDEX(products!$A$1:$G$49,MATCH(orders!$D729,products!$A$1:$A$49,0),MATCH(orders!L$1,products!$A$1:$G$1,0))</f>
        <v>5.97</v>
      </c>
      <c r="M729" s="6">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cm="1">
        <f t="array" ref="F730">_xlfn.XLOOKUP(C730,customers!A$1:$A$1001,customers!$B$1:$B$1001,0)</f>
        <v>Rochette Huscroft</v>
      </c>
      <c r="G730" s="2" t="str">
        <f>IF(_xlfn.XLOOKUP(C730,customers!$A$1:$A$1001,customers!$C$1:$C$1001,0)=0,"",_xlfn.XLOOKUP(C730,customers!$A$1:$A$1001,customers!$C$1:$C$1001))</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6">
        <f>INDEX(products!$A$1:$G$49,MATCH(orders!$D730,products!$A$1:$A$49,0),MATCH(orders!L$1,products!$A$1:$G$1,0))</f>
        <v>7.29</v>
      </c>
      <c r="M730" s="6">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cm="1">
        <f t="array" ref="F731">_xlfn.XLOOKUP(C731,customers!A$1:$A$1001,customers!$B$1:$B$1001,0)</f>
        <v>Selle Scurrer</v>
      </c>
      <c r="G731" s="2" t="str">
        <f>IF(_xlfn.XLOOKUP(C731,customers!$A$1:$A$1001,customers!$C$1:$C$1001,0)=0,"",_xlfn.XLOOKUP(C731,customers!$A$1:$A$1001,customers!$C$1:$C$1001))</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6">
        <f>INDEX(products!$A$1:$G$49,MATCH(orders!$D731,products!$A$1:$A$49,0),MATCH(orders!L$1,products!$A$1:$G$1,0))</f>
        <v>4.3650000000000002</v>
      </c>
      <c r="M731" s="6">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cm="1">
        <f t="array" ref="F732">_xlfn.XLOOKUP(C732,customers!A$1:$A$1001,customers!$B$1:$B$1001,0)</f>
        <v>Andie Rudram</v>
      </c>
      <c r="G732" s="2" t="str">
        <f>IF(_xlfn.XLOOKUP(C732,customers!$A$1:$A$1001,customers!$C$1:$C$1001,0)=0,"",_xlfn.XLOOKUP(C732,customers!$A$1:$A$1001,customers!$C$1:$C$1001))</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6">
        <f>INDEX(products!$A$1:$G$49,MATCH(orders!$D732,products!$A$1:$A$49,0),MATCH(orders!L$1,products!$A$1:$G$1,0))</f>
        <v>36.454999999999998</v>
      </c>
      <c r="M732" s="6">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cm="1">
        <f t="array" ref="F733">_xlfn.XLOOKUP(C733,customers!A$1:$A$1001,customers!$B$1:$B$1001,0)</f>
        <v>Leta Clarricoates</v>
      </c>
      <c r="G733" s="2" t="str">
        <f>IF(_xlfn.XLOOKUP(C733,customers!$A$1:$A$1001,customers!$C$1:$C$1001,0)=0,"",_xlfn.XLOOKUP(C733,customers!$A$1:$A$1001,customers!$C$1:$C$1001))</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6">
        <f>INDEX(products!$A$1:$G$49,MATCH(orders!$D733,products!$A$1:$A$49,0),MATCH(orders!L$1,products!$A$1:$G$1,0))</f>
        <v>3.8849999999999998</v>
      </c>
      <c r="M733" s="6">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cm="1">
        <f t="array" ref="F734">_xlfn.XLOOKUP(C734,customers!A$1:$A$1001,customers!$B$1:$B$1001,0)</f>
        <v>Jacquelyn Maha</v>
      </c>
      <c r="G734" s="2" t="str">
        <f>IF(_xlfn.XLOOKUP(C734,customers!$A$1:$A$1001,customers!$C$1:$C$1001,0)=0,"",_xlfn.XLOOKUP(C734,customers!$A$1:$A$1001,customers!$C$1:$C$1001))</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6">
        <f>INDEX(products!$A$1:$G$49,MATCH(orders!$D734,products!$A$1:$A$49,0),MATCH(orders!L$1,products!$A$1:$G$1,0))</f>
        <v>4.4550000000000001</v>
      </c>
      <c r="M734" s="6">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cm="1">
        <f t="array" ref="F735">_xlfn.XLOOKUP(C735,customers!A$1:$A$1001,customers!$B$1:$B$1001,0)</f>
        <v>Glory Clemon</v>
      </c>
      <c r="G735" s="2" t="str">
        <f>IF(_xlfn.XLOOKUP(C735,customers!$A$1:$A$1001,customers!$C$1:$C$1001,0)=0,"",_xlfn.XLOOKUP(C735,customers!$A$1:$A$1001,customers!$C$1:$C$1001))</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6">
        <f>INDEX(products!$A$1:$G$49,MATCH(orders!$D735,products!$A$1:$A$49,0),MATCH(orders!L$1,products!$A$1:$G$1,0))</f>
        <v>33.464999999999996</v>
      </c>
      <c r="M735" s="6">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cm="1">
        <f t="array" ref="F736">_xlfn.XLOOKUP(C736,customers!A$1:$A$1001,customers!$B$1:$B$1001,0)</f>
        <v>Alica Kift</v>
      </c>
      <c r="G736" s="2" t="str">
        <f>IF(_xlfn.XLOOKUP(C736,customers!$A$1:$A$1001,customers!$C$1:$C$1001,0)=0,"",_xlfn.XLOOKUP(C736,customers!$A$1:$A$1001,customers!$C$1:$C$1001))</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6">
        <f>INDEX(products!$A$1:$G$49,MATCH(orders!$D736,products!$A$1:$A$49,0),MATCH(orders!L$1,products!$A$1:$G$1,0))</f>
        <v>2.6849999999999996</v>
      </c>
      <c r="M736" s="6">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cm="1">
        <f t="array" ref="F737">_xlfn.XLOOKUP(C737,customers!A$1:$A$1001,customers!$B$1:$B$1001,0)</f>
        <v>Babb Pollins</v>
      </c>
      <c r="G737" s="2" t="str">
        <f>IF(_xlfn.XLOOKUP(C737,customers!$A$1:$A$1001,customers!$C$1:$C$1001,0)=0,"",_xlfn.XLOOKUP(C737,customers!$A$1:$A$1001,customers!$C$1:$C$1001))</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6">
        <f>INDEX(products!$A$1:$G$49,MATCH(orders!$D737,products!$A$1:$A$49,0),MATCH(orders!L$1,products!$A$1:$G$1,0))</f>
        <v>3.645</v>
      </c>
      <c r="M737" s="6">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cm="1">
        <f t="array" ref="F738">_xlfn.XLOOKUP(C738,customers!A$1:$A$1001,customers!$B$1:$B$1001,0)</f>
        <v>Jarret Toye</v>
      </c>
      <c r="G738" s="2" t="str">
        <f>IF(_xlfn.XLOOKUP(C738,customers!$A$1:$A$1001,customers!$C$1:$C$1001,0)=0,"",_xlfn.XLOOKUP(C738,customers!$A$1:$A$1001,customers!$C$1:$C$1001))</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6">
        <f>INDEX(products!$A$1:$G$49,MATCH(orders!$D738,products!$A$1:$A$49,0),MATCH(orders!L$1,products!$A$1:$G$1,0))</f>
        <v>12.95</v>
      </c>
      <c r="M738" s="6">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cm="1">
        <f t="array" ref="F739">_xlfn.XLOOKUP(C739,customers!A$1:$A$1001,customers!$B$1:$B$1001,0)</f>
        <v>Carlie Linskill</v>
      </c>
      <c r="G739" s="2" t="str">
        <f>IF(_xlfn.XLOOKUP(C739,customers!$A$1:$A$1001,customers!$C$1:$C$1001,0)=0,"",_xlfn.XLOOKUP(C739,customers!$A$1:$A$1001,customers!$C$1:$C$1001))</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6">
        <f>INDEX(products!$A$1:$G$49,MATCH(orders!$D739,products!$A$1:$A$49,0),MATCH(orders!L$1,products!$A$1:$G$1,0))</f>
        <v>11.25</v>
      </c>
      <c r="M739" s="6">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cm="1">
        <f t="array" ref="F740">_xlfn.XLOOKUP(C740,customers!A$1:$A$1001,customers!$B$1:$B$1001,0)</f>
        <v>Natal Vigrass</v>
      </c>
      <c r="G740" s="2" t="str">
        <f>IF(_xlfn.XLOOKUP(C740,customers!$A$1:$A$1001,customers!$C$1:$C$1001,0)=0,"",_xlfn.XLOOKUP(C740,customers!$A$1:$A$1001,customers!$C$1:$C$1001))</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6">
        <f>INDEX(products!$A$1:$G$49,MATCH(orders!$D740,products!$A$1:$A$49,0),MATCH(orders!L$1,products!$A$1:$G$1,0))</f>
        <v>3.5849999999999995</v>
      </c>
      <c r="M740" s="6">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cm="1">
        <f t="array" ref="F741">_xlfn.XLOOKUP(C741,customers!A$1:$A$1001,customers!$B$1:$B$1001,0)</f>
        <v>Jimmy Dymoke</v>
      </c>
      <c r="G741" s="2" t="str">
        <f>IF(_xlfn.XLOOKUP(C741,customers!$A$1:$A$1001,customers!$C$1:$C$1001,0)=0,"",_xlfn.XLOOKUP(C741,customers!$A$1:$A$1001,customers!$C$1:$C$1001))</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6">
        <f>INDEX(products!$A$1:$G$49,MATCH(orders!$D741,products!$A$1:$A$49,0),MATCH(orders!L$1,products!$A$1:$G$1,0))</f>
        <v>3.645</v>
      </c>
      <c r="M741" s="6">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cm="1">
        <f t="array" ref="F742">_xlfn.XLOOKUP(C742,customers!A$1:$A$1001,customers!$B$1:$B$1001,0)</f>
        <v>Kandace Cragell</v>
      </c>
      <c r="G742" s="2" t="str">
        <f>IF(_xlfn.XLOOKUP(C742,customers!$A$1:$A$1001,customers!$C$1:$C$1001,0)=0,"",_xlfn.XLOOKUP(C742,customers!$A$1:$A$1001,customers!$C$1:$C$1001))</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6">
        <f>INDEX(products!$A$1:$G$49,MATCH(orders!$D742,products!$A$1:$A$49,0),MATCH(orders!L$1,products!$A$1:$G$1,0))</f>
        <v>7.169999999999999</v>
      </c>
      <c r="M742" s="6">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cm="1">
        <f t="array" ref="F743">_xlfn.XLOOKUP(C743,customers!A$1:$A$1001,customers!$B$1:$B$1001,0)</f>
        <v>Lyon Ibert</v>
      </c>
      <c r="G743" s="2" t="str">
        <f>IF(_xlfn.XLOOKUP(C743,customers!$A$1:$A$1001,customers!$C$1:$C$1001,0)=0,"",_xlfn.XLOOKUP(C743,customers!$A$1:$A$1001,customers!$C$1:$C$1001))</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6">
        <f>INDEX(products!$A$1:$G$49,MATCH(orders!$D743,products!$A$1:$A$49,0),MATCH(orders!L$1,products!$A$1:$G$1,0))</f>
        <v>4.3650000000000002</v>
      </c>
      <c r="M743" s="6">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cm="1">
        <f t="array" ref="F744">_xlfn.XLOOKUP(C744,customers!A$1:$A$1001,customers!$B$1:$B$1001,0)</f>
        <v>Reese Lidgey</v>
      </c>
      <c r="G744" s="2" t="str">
        <f>IF(_xlfn.XLOOKUP(C744,customers!$A$1:$A$1001,customers!$C$1:$C$1001,0)=0,"",_xlfn.XLOOKUP(C744,customers!$A$1:$A$1001,customers!$C$1:$C$1001))</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6">
        <f>INDEX(products!$A$1:$G$49,MATCH(orders!$D744,products!$A$1:$A$49,0),MATCH(orders!L$1,products!$A$1:$G$1,0))</f>
        <v>14.55</v>
      </c>
      <c r="M744" s="6">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cm="1">
        <f t="array" ref="F745">_xlfn.XLOOKUP(C745,customers!A$1:$A$1001,customers!$B$1:$B$1001,0)</f>
        <v>Tersina Castagne</v>
      </c>
      <c r="G745" s="2" t="str">
        <f>IF(_xlfn.XLOOKUP(C745,customers!$A$1:$A$1001,customers!$C$1:$C$1001,0)=0,"",_xlfn.XLOOKUP(C745,customers!$A$1:$A$1001,customers!$C$1:$C$1001))</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6">
        <f>INDEX(products!$A$1:$G$49,MATCH(orders!$D745,products!$A$1:$A$49,0),MATCH(orders!L$1,products!$A$1:$G$1,0))</f>
        <v>5.97</v>
      </c>
      <c r="M745" s="6">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cm="1">
        <f t="array" ref="F746">_xlfn.XLOOKUP(C746,customers!A$1:$A$1001,customers!$B$1:$B$1001,0)</f>
        <v>Samuele Klaaassen</v>
      </c>
      <c r="G746" s="2" t="str">
        <f>IF(_xlfn.XLOOKUP(C746,customers!$A$1:$A$1001,customers!$C$1:$C$1001,0)=0,"",_xlfn.XLOOKUP(C746,customers!$A$1:$A$1001,customers!$C$1:$C$1001))</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6">
        <f>INDEX(products!$A$1:$G$49,MATCH(orders!$D746,products!$A$1:$A$49,0),MATCH(orders!L$1,products!$A$1:$G$1,0))</f>
        <v>2.9849999999999999</v>
      </c>
      <c r="M746" s="6">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cm="1">
        <f t="array" ref="F747">_xlfn.XLOOKUP(C747,customers!A$1:$A$1001,customers!$B$1:$B$1001,0)</f>
        <v>Jordana Halden</v>
      </c>
      <c r="G747" s="2" t="str">
        <f>IF(_xlfn.XLOOKUP(C747,customers!$A$1:$A$1001,customers!$C$1:$C$1001,0)=0,"",_xlfn.XLOOKUP(C747,customers!$A$1:$A$1001,customers!$C$1:$C$1001))</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6">
        <f>INDEX(products!$A$1:$G$49,MATCH(orders!$D747,products!$A$1:$A$49,0),MATCH(orders!L$1,products!$A$1:$G$1,0))</f>
        <v>7.29</v>
      </c>
      <c r="M747" s="6">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cm="1">
        <f t="array" ref="F748">_xlfn.XLOOKUP(C748,customers!A$1:$A$1001,customers!$B$1:$B$1001,0)</f>
        <v>Hussein Olliff</v>
      </c>
      <c r="G748" s="2" t="str">
        <f>IF(_xlfn.XLOOKUP(C748,customers!$A$1:$A$1001,customers!$C$1:$C$1001,0)=0,"",_xlfn.XLOOKUP(C748,customers!$A$1:$A$1001,customers!$C$1:$C$1001))</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6">
        <f>INDEX(products!$A$1:$G$49,MATCH(orders!$D748,products!$A$1:$A$49,0),MATCH(orders!L$1,products!$A$1:$G$1,0))</f>
        <v>11.25</v>
      </c>
      <c r="M748" s="6">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cm="1">
        <f t="array" ref="F749">_xlfn.XLOOKUP(C749,customers!A$1:$A$1001,customers!$B$1:$B$1001,0)</f>
        <v>Teddi Quadri</v>
      </c>
      <c r="G749" s="2" t="str">
        <f>IF(_xlfn.XLOOKUP(C749,customers!$A$1:$A$1001,customers!$C$1:$C$1001,0)=0,"",_xlfn.XLOOKUP(C749,customers!$A$1:$A$1001,customers!$C$1:$C$1001))</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6">
        <f>INDEX(products!$A$1:$G$49,MATCH(orders!$D749,products!$A$1:$A$49,0),MATCH(orders!L$1,products!$A$1:$G$1,0))</f>
        <v>8.73</v>
      </c>
      <c r="M749" s="6">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cm="1">
        <f t="array" ref="F750">_xlfn.XLOOKUP(C750,customers!A$1:$A$1001,customers!$B$1:$B$1001,0)</f>
        <v>Felita Eshmade</v>
      </c>
      <c r="G750" s="2" t="str">
        <f>IF(_xlfn.XLOOKUP(C750,customers!$A$1:$A$1001,customers!$C$1:$C$1001,0)=0,"",_xlfn.XLOOKUP(C750,customers!$A$1:$A$1001,customers!$C$1:$C$1001))</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6">
        <f>INDEX(products!$A$1:$G$49,MATCH(orders!$D750,products!$A$1:$A$49,0),MATCH(orders!L$1,products!$A$1:$G$1,0))</f>
        <v>7.29</v>
      </c>
      <c r="M750" s="6">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cm="1">
        <f t="array" ref="F751">_xlfn.XLOOKUP(C751,customers!A$1:$A$1001,customers!$B$1:$B$1001,0)</f>
        <v>Melodie OIlier</v>
      </c>
      <c r="G751" s="2" t="str">
        <f>IF(_xlfn.XLOOKUP(C751,customers!$A$1:$A$1001,customers!$C$1:$C$1001,0)=0,"",_xlfn.XLOOKUP(C751,customers!$A$1:$A$1001,customers!$C$1:$C$1001))</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6">
        <f>INDEX(products!$A$1:$G$49,MATCH(orders!$D751,products!$A$1:$A$49,0),MATCH(orders!L$1,products!$A$1:$G$1,0))</f>
        <v>2.6849999999999996</v>
      </c>
      <c r="M751" s="6">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cm="1">
        <f t="array" ref="F752">_xlfn.XLOOKUP(C752,customers!A$1:$A$1001,customers!$B$1:$B$1001,0)</f>
        <v>Hazel Iacopini</v>
      </c>
      <c r="G752" s="2" t="str">
        <f>IF(_xlfn.XLOOKUP(C752,customers!$A$1:$A$1001,customers!$C$1:$C$1001,0)=0,"",_xlfn.XLOOKUP(C752,customers!$A$1:$A$1001,customers!$C$1:$C$1001))</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6">
        <f>INDEX(products!$A$1:$G$49,MATCH(orders!$D752,products!$A$1:$A$49,0),MATCH(orders!L$1,products!$A$1:$G$1,0))</f>
        <v>5.97</v>
      </c>
      <c r="M752" s="6">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cm="1">
        <f t="array" ref="F753">_xlfn.XLOOKUP(C753,customers!A$1:$A$1001,customers!$B$1:$B$1001,0)</f>
        <v>Vinny Shoebotham</v>
      </c>
      <c r="G753" s="2" t="str">
        <f>IF(_xlfn.XLOOKUP(C753,customers!$A$1:$A$1001,customers!$C$1:$C$1001,0)=0,"",_xlfn.XLOOKUP(C753,customers!$A$1:$A$1001,customers!$C$1:$C$1001))</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6">
        <f>INDEX(products!$A$1:$G$49,MATCH(orders!$D753,products!$A$1:$A$49,0),MATCH(orders!L$1,products!$A$1:$G$1,0))</f>
        <v>9.51</v>
      </c>
      <c r="M753" s="6">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cm="1">
        <f t="array" ref="F754">_xlfn.XLOOKUP(C754,customers!A$1:$A$1001,customers!$B$1:$B$1001,0)</f>
        <v>Bran Sterke</v>
      </c>
      <c r="G754" s="2" t="str">
        <f>IF(_xlfn.XLOOKUP(C754,customers!$A$1:$A$1001,customers!$C$1:$C$1001,0)=0,"",_xlfn.XLOOKUP(C754,customers!$A$1:$A$1001,customers!$C$1:$C$1001))</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6">
        <f>INDEX(products!$A$1:$G$49,MATCH(orders!$D754,products!$A$1:$A$49,0),MATCH(orders!L$1,products!$A$1:$G$1,0))</f>
        <v>13.75</v>
      </c>
      <c r="M754" s="6">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cm="1">
        <f t="array" ref="F755">_xlfn.XLOOKUP(C755,customers!A$1:$A$1001,customers!$B$1:$B$1001,0)</f>
        <v>Simone Capon</v>
      </c>
      <c r="G755" s="2" t="str">
        <f>IF(_xlfn.XLOOKUP(C755,customers!$A$1:$A$1001,customers!$C$1:$C$1001,0)=0,"",_xlfn.XLOOKUP(C755,customers!$A$1:$A$1001,customers!$C$1:$C$1001))</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6">
        <f>INDEX(products!$A$1:$G$49,MATCH(orders!$D755,products!$A$1:$A$49,0),MATCH(orders!L$1,products!$A$1:$G$1,0))</f>
        <v>5.97</v>
      </c>
      <c r="M755" s="6">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cm="1">
        <f t="array" ref="F756">_xlfn.XLOOKUP(C756,customers!A$1:$A$1001,customers!$B$1:$B$1001,0)</f>
        <v>Jimmy Dymoke</v>
      </c>
      <c r="G756" s="2" t="str">
        <f>IF(_xlfn.XLOOKUP(C756,customers!$A$1:$A$1001,customers!$C$1:$C$1001,0)=0,"",_xlfn.XLOOKUP(C756,customers!$A$1:$A$1001,customers!$C$1:$C$1001))</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6">
        <f>INDEX(products!$A$1:$G$49,MATCH(orders!$D756,products!$A$1:$A$49,0),MATCH(orders!L$1,products!$A$1:$G$1,0))</f>
        <v>2.9849999999999999</v>
      </c>
      <c r="M756" s="6">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cm="1">
        <f t="array" ref="F757">_xlfn.XLOOKUP(C757,customers!A$1:$A$1001,customers!$B$1:$B$1001,0)</f>
        <v>Foster Constance</v>
      </c>
      <c r="G757" s="2" t="str">
        <f>IF(_xlfn.XLOOKUP(C757,customers!$A$1:$A$1001,customers!$C$1:$C$1001,0)=0,"",_xlfn.XLOOKUP(C757,customers!$A$1:$A$1001,customers!$C$1:$C$1001))</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6">
        <f>INDEX(products!$A$1:$G$49,MATCH(orders!$D757,products!$A$1:$A$49,0),MATCH(orders!L$1,products!$A$1:$G$1,0))</f>
        <v>4.7549999999999999</v>
      </c>
      <c r="M757" s="6">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cm="1">
        <f t="array" ref="F758">_xlfn.XLOOKUP(C758,customers!A$1:$A$1001,customers!$B$1:$B$1001,0)</f>
        <v>Fernando Sulman</v>
      </c>
      <c r="G758" s="2" t="str">
        <f>IF(_xlfn.XLOOKUP(C758,customers!$A$1:$A$1001,customers!$C$1:$C$1001,0)=0,"",_xlfn.XLOOKUP(C758,customers!$A$1:$A$1001,customers!$C$1:$C$1001))</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6">
        <f>INDEX(products!$A$1:$G$49,MATCH(orders!$D758,products!$A$1:$A$49,0),MATCH(orders!L$1,products!$A$1:$G$1,0))</f>
        <v>8.9499999999999993</v>
      </c>
      <c r="M758" s="6">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cm="1">
        <f t="array" ref="F759">_xlfn.XLOOKUP(C759,customers!A$1:$A$1001,customers!$B$1:$B$1001,0)</f>
        <v>Dorotea Hollyman</v>
      </c>
      <c r="G759" s="2" t="str">
        <f>IF(_xlfn.XLOOKUP(C759,customers!$A$1:$A$1001,customers!$C$1:$C$1001,0)=0,"",_xlfn.XLOOKUP(C759,customers!$A$1:$A$1001,customers!$C$1:$C$1001))</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6">
        <f>INDEX(products!$A$1:$G$49,MATCH(orders!$D759,products!$A$1:$A$49,0),MATCH(orders!L$1,products!$A$1:$G$1,0))</f>
        <v>5.97</v>
      </c>
      <c r="M759" s="6">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cm="1">
        <f t="array" ref="F760">_xlfn.XLOOKUP(C760,customers!A$1:$A$1001,customers!$B$1:$B$1001,0)</f>
        <v>Lorelei Nardoni</v>
      </c>
      <c r="G760" s="2" t="str">
        <f>IF(_xlfn.XLOOKUP(C760,customers!$A$1:$A$1001,customers!$C$1:$C$1001,0)=0,"",_xlfn.XLOOKUP(C760,customers!$A$1:$A$1001,customers!$C$1:$C$1001))</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6">
        <f>INDEX(products!$A$1:$G$49,MATCH(orders!$D760,products!$A$1:$A$49,0),MATCH(orders!L$1,products!$A$1:$G$1,0))</f>
        <v>8.9499999999999993</v>
      </c>
      <c r="M760" s="6">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cm="1">
        <f t="array" ref="F761">_xlfn.XLOOKUP(C761,customers!A$1:$A$1001,customers!$B$1:$B$1001,0)</f>
        <v>Dallas Yarham</v>
      </c>
      <c r="G761" s="2" t="str">
        <f>IF(_xlfn.XLOOKUP(C761,customers!$A$1:$A$1001,customers!$C$1:$C$1001,0)=0,"",_xlfn.XLOOKUP(C761,customers!$A$1:$A$1001,customers!$C$1:$C$1001))</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6">
        <f>INDEX(products!$A$1:$G$49,MATCH(orders!$D761,products!$A$1:$A$49,0),MATCH(orders!L$1,products!$A$1:$G$1,0))</f>
        <v>29.784999999999997</v>
      </c>
      <c r="M761" s="6">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cm="1">
        <f t="array" ref="F762">_xlfn.XLOOKUP(C762,customers!A$1:$A$1001,customers!$B$1:$B$1001,0)</f>
        <v>Arlana Ferrea</v>
      </c>
      <c r="G762" s="2" t="str">
        <f>IF(_xlfn.XLOOKUP(C762,customers!$A$1:$A$1001,customers!$C$1:$C$1001,0)=0,"",_xlfn.XLOOKUP(C762,customers!$A$1:$A$1001,customers!$C$1:$C$1001))</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6">
        <f>INDEX(products!$A$1:$G$49,MATCH(orders!$D762,products!$A$1:$A$49,0),MATCH(orders!L$1,products!$A$1:$G$1,0))</f>
        <v>8.91</v>
      </c>
      <c r="M762" s="6">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cm="1">
        <f t="array" ref="F763">_xlfn.XLOOKUP(C763,customers!A$1:$A$1001,customers!$B$1:$B$1001,0)</f>
        <v>Chuck Kendrick</v>
      </c>
      <c r="G763" s="2" t="str">
        <f>IF(_xlfn.XLOOKUP(C763,customers!$A$1:$A$1001,customers!$C$1:$C$1001,0)=0,"",_xlfn.XLOOKUP(C763,customers!$A$1:$A$1001,customers!$C$1:$C$1001))</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6">
        <f>INDEX(products!$A$1:$G$49,MATCH(orders!$D763,products!$A$1:$A$49,0),MATCH(orders!L$1,products!$A$1:$G$1,0))</f>
        <v>14.85</v>
      </c>
      <c r="M763" s="6">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cm="1">
        <f t="array" ref="F764">_xlfn.XLOOKUP(C764,customers!A$1:$A$1001,customers!$B$1:$B$1001,0)</f>
        <v>Sharona Danilchik</v>
      </c>
      <c r="G764" s="2" t="str">
        <f>IF(_xlfn.XLOOKUP(C764,customers!$A$1:$A$1001,customers!$C$1:$C$1001,0)=0,"",_xlfn.XLOOKUP(C764,customers!$A$1:$A$1001,customers!$C$1:$C$1001))</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6">
        <f>INDEX(products!$A$1:$G$49,MATCH(orders!$D764,products!$A$1:$A$49,0),MATCH(orders!L$1,products!$A$1:$G$1,0))</f>
        <v>8.73</v>
      </c>
      <c r="M764" s="6">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cm="1">
        <f t="array" ref="F765">_xlfn.XLOOKUP(C765,customers!A$1:$A$1001,customers!$B$1:$B$1001,0)</f>
        <v>Sarajane Potter</v>
      </c>
      <c r="G765" s="2" t="str">
        <f>IF(_xlfn.XLOOKUP(C765,customers!$A$1:$A$1001,customers!$C$1:$C$1001,0)=0,"",_xlfn.XLOOKUP(C765,customers!$A$1:$A$1001,customers!$C$1:$C$1001))</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6">
        <f>INDEX(products!$A$1:$G$49,MATCH(orders!$D765,products!$A$1:$A$49,0),MATCH(orders!L$1,products!$A$1:$G$1,0))</f>
        <v>7.77</v>
      </c>
      <c r="M765" s="6">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cm="1">
        <f t="array" ref="F766">_xlfn.XLOOKUP(C766,customers!A$1:$A$1001,customers!$B$1:$B$1001,0)</f>
        <v>Bobby Folomkin</v>
      </c>
      <c r="G766" s="2" t="str">
        <f>IF(_xlfn.XLOOKUP(C766,customers!$A$1:$A$1001,customers!$C$1:$C$1001,0)=0,"",_xlfn.XLOOKUP(C766,customers!$A$1:$A$1001,customers!$C$1:$C$1001))</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6">
        <f>INDEX(products!$A$1:$G$49,MATCH(orders!$D766,products!$A$1:$A$49,0),MATCH(orders!L$1,products!$A$1:$G$1,0))</f>
        <v>29.784999999999997</v>
      </c>
      <c r="M766" s="6">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cm="1">
        <f t="array" ref="F767">_xlfn.XLOOKUP(C767,customers!A$1:$A$1001,customers!$B$1:$B$1001,0)</f>
        <v>Rafferty Pursglove</v>
      </c>
      <c r="G767" s="2" t="str">
        <f>IF(_xlfn.XLOOKUP(C767,customers!$A$1:$A$1001,customers!$C$1:$C$1001,0)=0,"",_xlfn.XLOOKUP(C767,customers!$A$1:$A$1001,customers!$C$1:$C$1001))</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6">
        <f>INDEX(products!$A$1:$G$49,MATCH(orders!$D767,products!$A$1:$A$49,0),MATCH(orders!L$1,products!$A$1:$G$1,0))</f>
        <v>9.9499999999999993</v>
      </c>
      <c r="M767" s="6">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cm="1">
        <f t="array" ref="F768">_xlfn.XLOOKUP(C768,customers!A$1:$A$1001,customers!$B$1:$B$1001,0)</f>
        <v>Rafferty Pursglove</v>
      </c>
      <c r="G768" s="2" t="str">
        <f>IF(_xlfn.XLOOKUP(C768,customers!$A$1:$A$1001,customers!$C$1:$C$1001,0)=0,"",_xlfn.XLOOKUP(C768,customers!$A$1:$A$1001,customers!$C$1:$C$1001))</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6">
        <f>INDEX(products!$A$1:$G$49,MATCH(orders!$D768,products!$A$1:$A$49,0),MATCH(orders!L$1,products!$A$1:$G$1,0))</f>
        <v>7.77</v>
      </c>
      <c r="M768" s="6">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cm="1">
        <f t="array" ref="F769">_xlfn.XLOOKUP(C769,customers!A$1:$A$1001,customers!$B$1:$B$1001,0)</f>
        <v>Foster Constance</v>
      </c>
      <c r="G769" s="2" t="str">
        <f>IF(_xlfn.XLOOKUP(C769,customers!$A$1:$A$1001,customers!$C$1:$C$1001,0)=0,"",_xlfn.XLOOKUP(C769,customers!$A$1:$A$1001,customers!$C$1:$C$1001))</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6">
        <f>INDEX(products!$A$1:$G$49,MATCH(orders!$D769,products!$A$1:$A$49,0),MATCH(orders!L$1,products!$A$1:$G$1,0))</f>
        <v>29.784999999999997</v>
      </c>
      <c r="M769" s="6">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cm="1">
        <f t="array" ref="F770">_xlfn.XLOOKUP(C770,customers!A$1:$A$1001,customers!$B$1:$B$1001,0)</f>
        <v>Foster Constance</v>
      </c>
      <c r="G770" s="2" t="str">
        <f>IF(_xlfn.XLOOKUP(C770,customers!$A$1:$A$1001,customers!$C$1:$C$1001,0)=0,"",_xlfn.XLOOKUP(C770,customers!$A$1:$A$1001,customers!$C$1:$C$1001))</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6">
        <f>INDEX(products!$A$1:$G$49,MATCH(orders!$D770,products!$A$1:$A$49,0),MATCH(orders!L$1,products!$A$1:$G$1,0))</f>
        <v>11.95</v>
      </c>
      <c r="M770" s="6">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cm="1">
        <f t="array" ref="F771">_xlfn.XLOOKUP(C771,customers!A$1:$A$1001,customers!$B$1:$B$1001,0)</f>
        <v>Dalia Eburah</v>
      </c>
      <c r="G771" s="2" t="str">
        <f>IF(_xlfn.XLOOKUP(C771,customers!$A$1:$A$1001,customers!$C$1:$C$1001,0)=0,"",_xlfn.XLOOKUP(C771,customers!$A$1:$A$1001,customers!$C$1:$C$1001))</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6">
        <f>INDEX(products!$A$1:$G$49,MATCH(orders!$D771,products!$A$1:$A$49,0),MATCH(orders!L$1,products!$A$1:$G$1,0))</f>
        <v>22.884999999999998</v>
      </c>
      <c r="M771" s="6">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cm="1">
        <f t="array" ref="F772">_xlfn.XLOOKUP(C772,customers!A$1:$A$1001,customers!$B$1:$B$1001,0)</f>
        <v>Martie Brimilcombe</v>
      </c>
      <c r="G772" s="2" t="str">
        <f>IF(_xlfn.XLOOKUP(C772,customers!$A$1:$A$1001,customers!$C$1:$C$1001,0)=0,"",_xlfn.XLOOKUP(C772,customers!$A$1:$A$1001,customers!$C$1:$C$1001))</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6">
        <f>INDEX(products!$A$1:$G$49,MATCH(orders!$D772,products!$A$1:$A$49,0),MATCH(orders!L$1,products!$A$1:$G$1,0))</f>
        <v>9.9499999999999993</v>
      </c>
      <c r="M772" s="6">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cm="1">
        <f t="array" ref="F773">_xlfn.XLOOKUP(C773,customers!A$1:$A$1001,customers!$B$1:$B$1001,0)</f>
        <v>Suzanna Bollam</v>
      </c>
      <c r="G773" s="2" t="str">
        <f>IF(_xlfn.XLOOKUP(C773,customers!$A$1:$A$1001,customers!$C$1:$C$1001,0)=0,"",_xlfn.XLOOKUP(C773,customers!$A$1:$A$1001,customers!$C$1:$C$1001))</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6">
        <f>INDEX(products!$A$1:$G$49,MATCH(orders!$D773,products!$A$1:$A$49,0),MATCH(orders!L$1,products!$A$1:$G$1,0))</f>
        <v>7.169999999999999</v>
      </c>
      <c r="M773" s="6">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cm="1">
        <f t="array" ref="F774">_xlfn.XLOOKUP(C774,customers!A$1:$A$1001,customers!$B$1:$B$1001,0)</f>
        <v>Mellisa Mebes</v>
      </c>
      <c r="G774" s="2" t="str">
        <f>IF(_xlfn.XLOOKUP(C774,customers!$A$1:$A$1001,customers!$C$1:$C$1001,0)=0,"",_xlfn.XLOOKUP(C774,customers!$A$1:$A$1001,customers!$C$1:$C$1001))</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6">
        <f>INDEX(products!$A$1:$G$49,MATCH(orders!$D774,products!$A$1:$A$49,0),MATCH(orders!L$1,products!$A$1:$G$1,0))</f>
        <v>13.75</v>
      </c>
      <c r="M774" s="6">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cm="1">
        <f t="array" ref="F775">_xlfn.XLOOKUP(C775,customers!A$1:$A$1001,customers!$B$1:$B$1001,0)</f>
        <v>Alva Filipczak</v>
      </c>
      <c r="G775" s="2" t="str">
        <f>IF(_xlfn.XLOOKUP(C775,customers!$A$1:$A$1001,customers!$C$1:$C$1001,0)=0,"",_xlfn.XLOOKUP(C775,customers!$A$1:$A$1001,customers!$C$1:$C$1001))</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6">
        <f>INDEX(products!$A$1:$G$49,MATCH(orders!$D775,products!$A$1:$A$49,0),MATCH(orders!L$1,products!$A$1:$G$1,0))</f>
        <v>4.3650000000000002</v>
      </c>
      <c r="M775" s="6">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cm="1">
        <f t="array" ref="F776">_xlfn.XLOOKUP(C776,customers!A$1:$A$1001,customers!$B$1:$B$1001,0)</f>
        <v>Dorette Hinemoor</v>
      </c>
      <c r="G776" s="2" t="str">
        <f>IF(_xlfn.XLOOKUP(C776,customers!$A$1:$A$1001,customers!$C$1:$C$1001,0)=0,"",_xlfn.XLOOKUP(C776,customers!$A$1:$A$1001,customers!$C$1:$C$1001))</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6">
        <f>INDEX(products!$A$1:$G$49,MATCH(orders!$D776,products!$A$1:$A$49,0),MATCH(orders!L$1,products!$A$1:$G$1,0))</f>
        <v>9.9499999999999993</v>
      </c>
      <c r="M776" s="6">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cm="1">
        <f t="array" ref="F777">_xlfn.XLOOKUP(C777,customers!A$1:$A$1001,customers!$B$1:$B$1001,0)</f>
        <v>Rhetta Elnaugh</v>
      </c>
      <c r="G777" s="2" t="str">
        <f>IF(_xlfn.XLOOKUP(C777,customers!$A$1:$A$1001,customers!$C$1:$C$1001,0)=0,"",_xlfn.XLOOKUP(C777,customers!$A$1:$A$1001,customers!$C$1:$C$1001))</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6">
        <f>INDEX(products!$A$1:$G$49,MATCH(orders!$D777,products!$A$1:$A$49,0),MATCH(orders!L$1,products!$A$1:$G$1,0))</f>
        <v>8.91</v>
      </c>
      <c r="M777" s="6">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cm="1">
        <f t="array" ref="F778">_xlfn.XLOOKUP(C778,customers!A$1:$A$1001,customers!$B$1:$B$1001,0)</f>
        <v>Jule Deehan</v>
      </c>
      <c r="G778" s="2" t="str">
        <f>IF(_xlfn.XLOOKUP(C778,customers!$A$1:$A$1001,customers!$C$1:$C$1001,0)=0,"",_xlfn.XLOOKUP(C778,customers!$A$1:$A$1001,customers!$C$1:$C$1001))</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6">
        <f>INDEX(products!$A$1:$G$49,MATCH(orders!$D778,products!$A$1:$A$49,0),MATCH(orders!L$1,products!$A$1:$G$1,0))</f>
        <v>6.75</v>
      </c>
      <c r="M778" s="6">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cm="1">
        <f t="array" ref="F779">_xlfn.XLOOKUP(C779,customers!A$1:$A$1001,customers!$B$1:$B$1001,0)</f>
        <v>Janella Eden</v>
      </c>
      <c r="G779" s="2" t="str">
        <f>IF(_xlfn.XLOOKUP(C779,customers!$A$1:$A$1001,customers!$C$1:$C$1001,0)=0,"",_xlfn.XLOOKUP(C779,customers!$A$1:$A$1001,customers!$C$1:$C$1001))</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6">
        <f>INDEX(products!$A$1:$G$49,MATCH(orders!$D779,products!$A$1:$A$49,0),MATCH(orders!L$1,products!$A$1:$G$1,0))</f>
        <v>29.784999999999997</v>
      </c>
      <c r="M779" s="6">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cm="1">
        <f t="array" ref="F780">_xlfn.XLOOKUP(C780,customers!A$1:$A$1001,customers!$B$1:$B$1001,0)</f>
        <v>Cam Jewster</v>
      </c>
      <c r="G780" s="2" t="str">
        <f>IF(_xlfn.XLOOKUP(C780,customers!$A$1:$A$1001,customers!$C$1:$C$1001,0)=0,"",_xlfn.XLOOKUP(C780,customers!$A$1:$A$1001,customers!$C$1:$C$1001))</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6">
        <f>INDEX(products!$A$1:$G$49,MATCH(orders!$D780,products!$A$1:$A$49,0),MATCH(orders!L$1,products!$A$1:$G$1,0))</f>
        <v>9.51</v>
      </c>
      <c r="M780" s="6">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cm="1">
        <f t="array" ref="F781">_xlfn.XLOOKUP(C781,customers!A$1:$A$1001,customers!$B$1:$B$1001,0)</f>
        <v>Ugo Southerden</v>
      </c>
      <c r="G781" s="2" t="str">
        <f>IF(_xlfn.XLOOKUP(C781,customers!$A$1:$A$1001,customers!$C$1:$C$1001,0)=0,"",_xlfn.XLOOKUP(C781,customers!$A$1:$A$1001,customers!$C$1:$C$1001))</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6">
        <f>INDEX(products!$A$1:$G$49,MATCH(orders!$D781,products!$A$1:$A$49,0),MATCH(orders!L$1,products!$A$1:$G$1,0))</f>
        <v>12.95</v>
      </c>
      <c r="M781" s="6">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cm="1">
        <f t="array" ref="F782">_xlfn.XLOOKUP(C782,customers!A$1:$A$1001,customers!$B$1:$B$1001,0)</f>
        <v>Verne Dunkerley</v>
      </c>
      <c r="G782" s="2" t="str">
        <f>IF(_xlfn.XLOOKUP(C782,customers!$A$1:$A$1001,customers!$C$1:$C$1001,0)=0,"",_xlfn.XLOOKUP(C782,customers!$A$1:$A$1001,customers!$C$1:$C$1001))</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6">
        <f>INDEX(products!$A$1:$G$49,MATCH(orders!$D782,products!$A$1:$A$49,0),MATCH(orders!L$1,products!$A$1:$G$1,0))</f>
        <v>13.75</v>
      </c>
      <c r="M782" s="6">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cm="1">
        <f t="array" ref="F783">_xlfn.XLOOKUP(C783,customers!A$1:$A$1001,customers!$B$1:$B$1001,0)</f>
        <v>Lacee Burtenshaw</v>
      </c>
      <c r="G783" s="2" t="str">
        <f>IF(_xlfn.XLOOKUP(C783,customers!$A$1:$A$1001,customers!$C$1:$C$1001,0)=0,"",_xlfn.XLOOKUP(C783,customers!$A$1:$A$1001,customers!$C$1:$C$1001))</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6">
        <f>INDEX(products!$A$1:$G$49,MATCH(orders!$D783,products!$A$1:$A$49,0),MATCH(orders!L$1,products!$A$1:$G$1,0))</f>
        <v>36.454999999999998</v>
      </c>
      <c r="M783" s="6">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cm="1">
        <f t="array" ref="F784">_xlfn.XLOOKUP(C784,customers!A$1:$A$1001,customers!$B$1:$B$1001,0)</f>
        <v>Adorne Gregoratti</v>
      </c>
      <c r="G784" s="2" t="str">
        <f>IF(_xlfn.XLOOKUP(C784,customers!$A$1:$A$1001,customers!$C$1:$C$1001,0)=0,"",_xlfn.XLOOKUP(C784,customers!$A$1:$A$1001,customers!$C$1:$C$1001))</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6">
        <f>INDEX(products!$A$1:$G$49,MATCH(orders!$D784,products!$A$1:$A$49,0),MATCH(orders!L$1,products!$A$1:$G$1,0))</f>
        <v>4.4550000000000001</v>
      </c>
      <c r="M784" s="6">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cm="1">
        <f t="array" ref="F785">_xlfn.XLOOKUP(C785,customers!A$1:$A$1001,customers!$B$1:$B$1001,0)</f>
        <v>Chris Croster</v>
      </c>
      <c r="G785" s="2" t="str">
        <f>IF(_xlfn.XLOOKUP(C785,customers!$A$1:$A$1001,customers!$C$1:$C$1001,0)=0,"",_xlfn.XLOOKUP(C785,customers!$A$1:$A$1001,customers!$C$1:$C$1001))</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6">
        <f>INDEX(products!$A$1:$G$49,MATCH(orders!$D785,products!$A$1:$A$49,0),MATCH(orders!L$1,products!$A$1:$G$1,0))</f>
        <v>8.73</v>
      </c>
      <c r="M785" s="6">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cm="1">
        <f t="array" ref="F786">_xlfn.XLOOKUP(C786,customers!A$1:$A$1001,customers!$B$1:$B$1001,0)</f>
        <v>Graeme Whitehead</v>
      </c>
      <c r="G786" s="2" t="str">
        <f>IF(_xlfn.XLOOKUP(C786,customers!$A$1:$A$1001,customers!$C$1:$C$1001,0)=0,"",_xlfn.XLOOKUP(C786,customers!$A$1:$A$1001,customers!$C$1:$C$1001))</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6">
        <f>INDEX(products!$A$1:$G$49,MATCH(orders!$D786,products!$A$1:$A$49,0),MATCH(orders!L$1,products!$A$1:$G$1,0))</f>
        <v>15.85</v>
      </c>
      <c r="M786" s="6">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cm="1">
        <f t="array" ref="F787">_xlfn.XLOOKUP(C787,customers!A$1:$A$1001,customers!$B$1:$B$1001,0)</f>
        <v>Haslett Jodrelle</v>
      </c>
      <c r="G787" s="2" t="str">
        <f>IF(_xlfn.XLOOKUP(C787,customers!$A$1:$A$1001,customers!$C$1:$C$1001,0)=0,"",_xlfn.XLOOKUP(C787,customers!$A$1:$A$1001,customers!$C$1:$C$1001))</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6">
        <f>INDEX(products!$A$1:$G$49,MATCH(orders!$D787,products!$A$1:$A$49,0),MATCH(orders!L$1,products!$A$1:$G$1,0))</f>
        <v>22.884999999999998</v>
      </c>
      <c r="M787" s="6">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cm="1">
        <f t="array" ref="F788">_xlfn.XLOOKUP(C788,customers!A$1:$A$1001,customers!$B$1:$B$1001,0)</f>
        <v>Cam Jewster</v>
      </c>
      <c r="G788" s="2" t="str">
        <f>IF(_xlfn.XLOOKUP(C788,customers!$A$1:$A$1001,customers!$C$1:$C$1001,0)=0,"",_xlfn.XLOOKUP(C788,customers!$A$1:$A$1001,customers!$C$1:$C$1001))</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6">
        <f>INDEX(products!$A$1:$G$49,MATCH(orders!$D788,products!$A$1:$A$49,0),MATCH(orders!L$1,products!$A$1:$G$1,0))</f>
        <v>27.945</v>
      </c>
      <c r="M788" s="6">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cm="1">
        <f t="array" ref="F789">_xlfn.XLOOKUP(C789,customers!A$1:$A$1001,customers!$B$1:$B$1001,0)</f>
        <v>Beryl Osborn</v>
      </c>
      <c r="G789" s="2" t="str">
        <f>IF(_xlfn.XLOOKUP(C789,customers!$A$1:$A$1001,customers!$C$1:$C$1001,0)=0,"",_xlfn.XLOOKUP(C789,customers!$A$1:$A$1001,customers!$C$1:$C$1001))</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6">
        <f>INDEX(products!$A$1:$G$49,MATCH(orders!$D789,products!$A$1:$A$49,0),MATCH(orders!L$1,products!$A$1:$G$1,0))</f>
        <v>13.75</v>
      </c>
      <c r="M789" s="6">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cm="1">
        <f t="array" ref="F790">_xlfn.XLOOKUP(C790,customers!A$1:$A$1001,customers!$B$1:$B$1001,0)</f>
        <v>Kaela Nottram</v>
      </c>
      <c r="G790" s="2" t="str">
        <f>IF(_xlfn.XLOOKUP(C790,customers!$A$1:$A$1001,customers!$C$1:$C$1001,0)=0,"",_xlfn.XLOOKUP(C790,customers!$A$1:$A$1001,customers!$C$1:$C$1001))</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6">
        <f>INDEX(products!$A$1:$G$49,MATCH(orders!$D790,products!$A$1:$A$49,0),MATCH(orders!L$1,products!$A$1:$G$1,0))</f>
        <v>22.884999999999998</v>
      </c>
      <c r="M790" s="6">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cm="1">
        <f t="array" ref="F791">_xlfn.XLOOKUP(C791,customers!A$1:$A$1001,customers!$B$1:$B$1001,0)</f>
        <v>Nobe Buney</v>
      </c>
      <c r="G791" s="2" t="str">
        <f>IF(_xlfn.XLOOKUP(C791,customers!$A$1:$A$1001,customers!$C$1:$C$1001,0)=0,"",_xlfn.XLOOKUP(C791,customers!$A$1:$A$1001,customers!$C$1:$C$1001))</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6">
        <f>INDEX(products!$A$1:$G$49,MATCH(orders!$D791,products!$A$1:$A$49,0),MATCH(orders!L$1,products!$A$1:$G$1,0))</f>
        <v>12.95</v>
      </c>
      <c r="M791" s="6">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cm="1">
        <f t="array" ref="F792">_xlfn.XLOOKUP(C792,customers!A$1:$A$1001,customers!$B$1:$B$1001,0)</f>
        <v>Silvan McShea</v>
      </c>
      <c r="G792" s="2" t="str">
        <f>IF(_xlfn.XLOOKUP(C792,customers!$A$1:$A$1001,customers!$C$1:$C$1001,0)=0,"",_xlfn.XLOOKUP(C792,customers!$A$1:$A$1001,customers!$C$1:$C$1001))</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6">
        <f>INDEX(products!$A$1:$G$49,MATCH(orders!$D792,products!$A$1:$A$49,0),MATCH(orders!L$1,products!$A$1:$G$1,0))</f>
        <v>7.77</v>
      </c>
      <c r="M792" s="6">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cm="1">
        <f t="array" ref="F793">_xlfn.XLOOKUP(C793,customers!A$1:$A$1001,customers!$B$1:$B$1001,0)</f>
        <v>Karylin Huddart</v>
      </c>
      <c r="G793" s="2" t="str">
        <f>IF(_xlfn.XLOOKUP(C793,customers!$A$1:$A$1001,customers!$C$1:$C$1001,0)=0,"",_xlfn.XLOOKUP(C793,customers!$A$1:$A$1001,customers!$C$1:$C$1001))</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6">
        <f>INDEX(products!$A$1:$G$49,MATCH(orders!$D793,products!$A$1:$A$49,0),MATCH(orders!L$1,products!$A$1:$G$1,0))</f>
        <v>4.7549999999999999</v>
      </c>
      <c r="M793" s="6">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cm="1">
        <f t="array" ref="F794">_xlfn.XLOOKUP(C794,customers!A$1:$A$1001,customers!$B$1:$B$1001,0)</f>
        <v>Jereme Gippes</v>
      </c>
      <c r="G794" s="2" t="str">
        <f>IF(_xlfn.XLOOKUP(C794,customers!$A$1:$A$1001,customers!$C$1:$C$1001,0)=0,"",_xlfn.XLOOKUP(C794,customers!$A$1:$A$1001,customers!$C$1:$C$1001))</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6">
        <f>INDEX(products!$A$1:$G$49,MATCH(orders!$D794,products!$A$1:$A$49,0),MATCH(orders!L$1,products!$A$1:$G$1,0))</f>
        <v>8.73</v>
      </c>
      <c r="M794" s="6">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cm="1">
        <f t="array" ref="F795">_xlfn.XLOOKUP(C795,customers!A$1:$A$1001,customers!$B$1:$B$1001,0)</f>
        <v>Lukas Whittlesee</v>
      </c>
      <c r="G795" s="2" t="str">
        <f>IF(_xlfn.XLOOKUP(C795,customers!$A$1:$A$1001,customers!$C$1:$C$1001,0)=0,"",_xlfn.XLOOKUP(C795,customers!$A$1:$A$1001,customers!$C$1:$C$1001))</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6">
        <f>INDEX(products!$A$1:$G$49,MATCH(orders!$D795,products!$A$1:$A$49,0),MATCH(orders!L$1,products!$A$1:$G$1,0))</f>
        <v>3.5849999999999995</v>
      </c>
      <c r="M795" s="6">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cm="1">
        <f t="array" ref="F796">_xlfn.XLOOKUP(C796,customers!A$1:$A$1001,customers!$B$1:$B$1001,0)</f>
        <v>Gregorius Trengrove</v>
      </c>
      <c r="G796" s="2" t="str">
        <f>IF(_xlfn.XLOOKUP(C796,customers!$A$1:$A$1001,customers!$C$1:$C$1001,0)=0,"",_xlfn.XLOOKUP(C796,customers!$A$1:$A$1001,customers!$C$1:$C$1001))</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6">
        <f>INDEX(products!$A$1:$G$49,MATCH(orders!$D796,products!$A$1:$A$49,0),MATCH(orders!L$1,products!$A$1:$G$1,0))</f>
        <v>29.784999999999997</v>
      </c>
      <c r="M796" s="6">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cm="1">
        <f t="array" ref="F797">_xlfn.XLOOKUP(C797,customers!A$1:$A$1001,customers!$B$1:$B$1001,0)</f>
        <v>Wright Caldero</v>
      </c>
      <c r="G797" s="2" t="str">
        <f>IF(_xlfn.XLOOKUP(C797,customers!$A$1:$A$1001,customers!$C$1:$C$1001,0)=0,"",_xlfn.XLOOKUP(C797,customers!$A$1:$A$1001,customers!$C$1:$C$1001))</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6">
        <f>INDEX(products!$A$1:$G$49,MATCH(orders!$D797,products!$A$1:$A$49,0),MATCH(orders!L$1,products!$A$1:$G$1,0))</f>
        <v>7.169999999999999</v>
      </c>
      <c r="M797" s="6">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cm="1">
        <f t="array" ref="F798">_xlfn.XLOOKUP(C798,customers!A$1:$A$1001,customers!$B$1:$B$1001,0)</f>
        <v>Merell Zanazzi</v>
      </c>
      <c r="G798" s="2" t="str">
        <f>IF(_xlfn.XLOOKUP(C798,customers!$A$1:$A$1001,customers!$C$1:$C$1001,0)=0,"",_xlfn.XLOOKUP(C798,customers!$A$1:$A$1001,customers!$C$1:$C$1001))</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6">
        <f>INDEX(products!$A$1:$G$49,MATCH(orders!$D798,products!$A$1:$A$49,0),MATCH(orders!L$1,products!$A$1:$G$1,0))</f>
        <v>9.51</v>
      </c>
      <c r="M798" s="6">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cm="1">
        <f t="array" ref="F799">_xlfn.XLOOKUP(C799,customers!A$1:$A$1001,customers!$B$1:$B$1001,0)</f>
        <v>Jed Kennicott</v>
      </c>
      <c r="G799" s="2" t="str">
        <f>IF(_xlfn.XLOOKUP(C799,customers!$A$1:$A$1001,customers!$C$1:$C$1001,0)=0,"",_xlfn.XLOOKUP(C799,customers!$A$1:$A$1001,customers!$C$1:$C$1001))</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6">
        <f>INDEX(products!$A$1:$G$49,MATCH(orders!$D799,products!$A$1:$A$49,0),MATCH(orders!L$1,products!$A$1:$G$1,0))</f>
        <v>7.77</v>
      </c>
      <c r="M799" s="6">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cm="1">
        <f t="array" ref="F800">_xlfn.XLOOKUP(C800,customers!A$1:$A$1001,customers!$B$1:$B$1001,0)</f>
        <v>Guenevere Ruggen</v>
      </c>
      <c r="G800" s="2" t="str">
        <f>IF(_xlfn.XLOOKUP(C800,customers!$A$1:$A$1001,customers!$C$1:$C$1001,0)=0,"",_xlfn.XLOOKUP(C800,customers!$A$1:$A$1001,customers!$C$1:$C$1001))</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6">
        <f>INDEX(products!$A$1:$G$49,MATCH(orders!$D800,products!$A$1:$A$49,0),MATCH(orders!L$1,products!$A$1:$G$1,0))</f>
        <v>2.6849999999999996</v>
      </c>
      <c r="M800" s="6">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cm="1">
        <f t="array" ref="F801">_xlfn.XLOOKUP(C801,customers!A$1:$A$1001,customers!$B$1:$B$1001,0)</f>
        <v>Gonzales Cicculi</v>
      </c>
      <c r="G801" s="2" t="str">
        <f>IF(_xlfn.XLOOKUP(C801,customers!$A$1:$A$1001,customers!$C$1:$C$1001,0)=0,"",_xlfn.XLOOKUP(C801,customers!$A$1:$A$1001,customers!$C$1:$C$1001))</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6">
        <f>INDEX(products!$A$1:$G$49,MATCH(orders!$D801,products!$A$1:$A$49,0),MATCH(orders!L$1,products!$A$1:$G$1,0))</f>
        <v>12.15</v>
      </c>
      <c r="M801" s="6">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cm="1">
        <f t="array" ref="F802">_xlfn.XLOOKUP(C802,customers!A$1:$A$1001,customers!$B$1:$B$1001,0)</f>
        <v>Man Fright</v>
      </c>
      <c r="G802" s="2" t="str">
        <f>IF(_xlfn.XLOOKUP(C802,customers!$A$1:$A$1001,customers!$C$1:$C$1001,0)=0,"",_xlfn.XLOOKUP(C802,customers!$A$1:$A$1001,customers!$C$1:$C$1001))</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6">
        <f>INDEX(products!$A$1:$G$49,MATCH(orders!$D802,products!$A$1:$A$49,0),MATCH(orders!L$1,products!$A$1:$G$1,0))</f>
        <v>2.6849999999999996</v>
      </c>
      <c r="M802" s="6">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cm="1">
        <f t="array" ref="F803">_xlfn.XLOOKUP(C803,customers!A$1:$A$1001,customers!$B$1:$B$1001,0)</f>
        <v>Boyce Tarte</v>
      </c>
      <c r="G803" s="2" t="str">
        <f>IF(_xlfn.XLOOKUP(C803,customers!$A$1:$A$1001,customers!$C$1:$C$1001,0)=0,"",_xlfn.XLOOKUP(C803,customers!$A$1:$A$1001,customers!$C$1:$C$1001))</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6">
        <f>INDEX(products!$A$1:$G$49,MATCH(orders!$D803,products!$A$1:$A$49,0),MATCH(orders!L$1,products!$A$1:$G$1,0))</f>
        <v>20.584999999999997</v>
      </c>
      <c r="M803" s="6">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cm="1">
        <f t="array" ref="F804">_xlfn.XLOOKUP(C804,customers!A$1:$A$1001,customers!$B$1:$B$1001,0)</f>
        <v>Caddric Krzysztofiak</v>
      </c>
      <c r="G804" s="2" t="str">
        <f>IF(_xlfn.XLOOKUP(C804,customers!$A$1:$A$1001,customers!$C$1:$C$1001,0)=0,"",_xlfn.XLOOKUP(C804,customers!$A$1:$A$1001,customers!$C$1:$C$1001))</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6">
        <f>INDEX(products!$A$1:$G$49,MATCH(orders!$D804,products!$A$1:$A$49,0),MATCH(orders!L$1,products!$A$1:$G$1,0))</f>
        <v>2.6849999999999996</v>
      </c>
      <c r="M804" s="6">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cm="1">
        <f t="array" ref="F805">_xlfn.XLOOKUP(C805,customers!A$1:$A$1001,customers!$B$1:$B$1001,0)</f>
        <v>Darn Penquet</v>
      </c>
      <c r="G805" s="2" t="str">
        <f>IF(_xlfn.XLOOKUP(C805,customers!$A$1:$A$1001,customers!$C$1:$C$1001,0)=0,"",_xlfn.XLOOKUP(C805,customers!$A$1:$A$1001,customers!$C$1:$C$1001))</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6">
        <f>INDEX(products!$A$1:$G$49,MATCH(orders!$D805,products!$A$1:$A$49,0),MATCH(orders!L$1,products!$A$1:$G$1,0))</f>
        <v>31.624999999999996</v>
      </c>
      <c r="M805" s="6">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cm="1">
        <f t="array" ref="F806">_xlfn.XLOOKUP(C806,customers!A$1:$A$1001,customers!$B$1:$B$1001,0)</f>
        <v>Jammie Cloke</v>
      </c>
      <c r="G806" s="2" t="str">
        <f>IF(_xlfn.XLOOKUP(C806,customers!$A$1:$A$1001,customers!$C$1:$C$1001,0)=0,"",_xlfn.XLOOKUP(C806,customers!$A$1:$A$1001,customers!$C$1:$C$1001))</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6">
        <f>INDEX(products!$A$1:$G$49,MATCH(orders!$D806,products!$A$1:$A$49,0),MATCH(orders!L$1,products!$A$1:$G$1,0))</f>
        <v>11.95</v>
      </c>
      <c r="M806" s="6">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cm="1">
        <f t="array" ref="F807">_xlfn.XLOOKUP(C807,customers!A$1:$A$1001,customers!$B$1:$B$1001,0)</f>
        <v>Chester Clowton</v>
      </c>
      <c r="G807" s="2" t="str">
        <f>IF(_xlfn.XLOOKUP(C807,customers!$A$1:$A$1001,customers!$C$1:$C$1001,0)=0,"",_xlfn.XLOOKUP(C807,customers!$A$1:$A$1001,customers!$C$1:$C$1001))</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6">
        <f>INDEX(products!$A$1:$G$49,MATCH(orders!$D807,products!$A$1:$A$49,0),MATCH(orders!L$1,products!$A$1:$G$1,0))</f>
        <v>5.97</v>
      </c>
      <c r="M807" s="6">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cm="1">
        <f t="array" ref="F808">_xlfn.XLOOKUP(C808,customers!A$1:$A$1001,customers!$B$1:$B$1001,0)</f>
        <v>Kathleen Diable</v>
      </c>
      <c r="G808" s="2" t="str">
        <f>IF(_xlfn.XLOOKUP(C808,customers!$A$1:$A$1001,customers!$C$1:$C$1001,0)=0,"",_xlfn.XLOOKUP(C808,customers!$A$1:$A$1001,customers!$C$1:$C$1001))</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6">
        <f>INDEX(products!$A$1:$G$49,MATCH(orders!$D808,products!$A$1:$A$49,0),MATCH(orders!L$1,products!$A$1:$G$1,0))</f>
        <v>3.8849999999999998</v>
      </c>
      <c r="M808" s="6">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cm="1">
        <f t="array" ref="F809">_xlfn.XLOOKUP(C809,customers!A$1:$A$1001,customers!$B$1:$B$1001,0)</f>
        <v>Koren Ferretti</v>
      </c>
      <c r="G809" s="2" t="str">
        <f>IF(_xlfn.XLOOKUP(C809,customers!$A$1:$A$1001,customers!$C$1:$C$1001,0)=0,"",_xlfn.XLOOKUP(C809,customers!$A$1:$A$1001,customers!$C$1:$C$1001))</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6">
        <f>INDEX(products!$A$1:$G$49,MATCH(orders!$D809,products!$A$1:$A$49,0),MATCH(orders!L$1,products!$A$1:$G$1,0))</f>
        <v>7.77</v>
      </c>
      <c r="M809" s="6">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cm="1">
        <f t="array" ref="F810">_xlfn.XLOOKUP(C810,customers!A$1:$A$1001,customers!$B$1:$B$1001,0)</f>
        <v>Allis Wilmore</v>
      </c>
      <c r="G810" s="2" t="str">
        <f>IF(_xlfn.XLOOKUP(C810,customers!$A$1:$A$1001,customers!$C$1:$C$1001,0)=0,"",_xlfn.XLOOKUP(C810,customers!$A$1:$A$1001,customers!$C$1:$C$1001))</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6">
        <f>INDEX(products!$A$1:$G$49,MATCH(orders!$D810,products!$A$1:$A$49,0),MATCH(orders!L$1,products!$A$1:$G$1,0))</f>
        <v>27.484999999999996</v>
      </c>
      <c r="M810" s="6">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cm="1">
        <f t="array" ref="F811">_xlfn.XLOOKUP(C811,customers!A$1:$A$1001,customers!$B$1:$B$1001,0)</f>
        <v>Chaddie Bennie</v>
      </c>
      <c r="G811" s="2" t="str">
        <f>IF(_xlfn.XLOOKUP(C811,customers!$A$1:$A$1001,customers!$C$1:$C$1001,0)=0,"",_xlfn.XLOOKUP(C811,customers!$A$1:$A$1001,customers!$C$1:$C$1001))</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6">
        <f>INDEX(products!$A$1:$G$49,MATCH(orders!$D811,products!$A$1:$A$49,0),MATCH(orders!L$1,products!$A$1:$G$1,0))</f>
        <v>2.6849999999999996</v>
      </c>
      <c r="M811" s="6">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cm="1">
        <f t="array" ref="F812">_xlfn.XLOOKUP(C812,customers!A$1:$A$1001,customers!$B$1:$B$1001,0)</f>
        <v>Alberta Balsdone</v>
      </c>
      <c r="G812" s="2" t="str">
        <f>IF(_xlfn.XLOOKUP(C812,customers!$A$1:$A$1001,customers!$C$1:$C$1001,0)=0,"",_xlfn.XLOOKUP(C812,customers!$A$1:$A$1001,customers!$C$1:$C$1001))</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6">
        <f>INDEX(products!$A$1:$G$49,MATCH(orders!$D812,products!$A$1:$A$49,0),MATCH(orders!L$1,products!$A$1:$G$1,0))</f>
        <v>9.51</v>
      </c>
      <c r="M812" s="6">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cm="1">
        <f t="array" ref="F813">_xlfn.XLOOKUP(C813,customers!A$1:$A$1001,customers!$B$1:$B$1001,0)</f>
        <v>Brice Romera</v>
      </c>
      <c r="G813" s="2" t="str">
        <f>IF(_xlfn.XLOOKUP(C813,customers!$A$1:$A$1001,customers!$C$1:$C$1001,0)=0,"",_xlfn.XLOOKUP(C813,customers!$A$1:$A$1001,customers!$C$1:$C$1001))</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6">
        <f>INDEX(products!$A$1:$G$49,MATCH(orders!$D813,products!$A$1:$A$49,0),MATCH(orders!L$1,products!$A$1:$G$1,0))</f>
        <v>11.25</v>
      </c>
      <c r="M813" s="6">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cm="1">
        <f t="array" ref="F814">_xlfn.XLOOKUP(C814,customers!A$1:$A$1001,customers!$B$1:$B$1001,0)</f>
        <v>Brice Romera</v>
      </c>
      <c r="G814" s="2" t="str">
        <f>IF(_xlfn.XLOOKUP(C814,customers!$A$1:$A$1001,customers!$C$1:$C$1001,0)=0,"",_xlfn.XLOOKUP(C814,customers!$A$1:$A$1001,customers!$C$1:$C$1001))</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6">
        <f>INDEX(products!$A$1:$G$49,MATCH(orders!$D814,products!$A$1:$A$49,0),MATCH(orders!L$1,products!$A$1:$G$1,0))</f>
        <v>29.784999999999997</v>
      </c>
      <c r="M814" s="6">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cm="1">
        <f t="array" ref="F815">_xlfn.XLOOKUP(C815,customers!A$1:$A$1001,customers!$B$1:$B$1001,0)</f>
        <v>Conchita Bryde</v>
      </c>
      <c r="G815" s="2" t="str">
        <f>IF(_xlfn.XLOOKUP(C815,customers!$A$1:$A$1001,customers!$C$1:$C$1001,0)=0,"",_xlfn.XLOOKUP(C815,customers!$A$1:$A$1001,customers!$C$1:$C$1001))</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6">
        <f>INDEX(products!$A$1:$G$49,MATCH(orders!$D815,products!$A$1:$A$49,0),MATCH(orders!L$1,products!$A$1:$G$1,0))</f>
        <v>31.624999999999996</v>
      </c>
      <c r="M815" s="6">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cm="1">
        <f t="array" ref="F816">_xlfn.XLOOKUP(C816,customers!A$1:$A$1001,customers!$B$1:$B$1001,0)</f>
        <v>Silvanus Enefer</v>
      </c>
      <c r="G816" s="2" t="str">
        <f>IF(_xlfn.XLOOKUP(C816,customers!$A$1:$A$1001,customers!$C$1:$C$1001,0)=0,"",_xlfn.XLOOKUP(C816,customers!$A$1:$A$1001,customers!$C$1:$C$1001))</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6">
        <f>INDEX(products!$A$1:$G$49,MATCH(orders!$D816,products!$A$1:$A$49,0),MATCH(orders!L$1,products!$A$1:$G$1,0))</f>
        <v>4.4550000000000001</v>
      </c>
      <c r="M816" s="6">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cm="1">
        <f t="array" ref="F817">_xlfn.XLOOKUP(C817,customers!A$1:$A$1001,customers!$B$1:$B$1001,0)</f>
        <v>Lenci Haggerstone</v>
      </c>
      <c r="G817" s="2" t="str">
        <f>IF(_xlfn.XLOOKUP(C817,customers!$A$1:$A$1001,customers!$C$1:$C$1001,0)=0,"",_xlfn.XLOOKUP(C817,customers!$A$1:$A$1001,customers!$C$1:$C$1001))</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6">
        <f>INDEX(products!$A$1:$G$49,MATCH(orders!$D817,products!$A$1:$A$49,0),MATCH(orders!L$1,products!$A$1:$G$1,0))</f>
        <v>5.97</v>
      </c>
      <c r="M817" s="6">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cm="1">
        <f t="array" ref="F818">_xlfn.XLOOKUP(C818,customers!A$1:$A$1001,customers!$B$1:$B$1001,0)</f>
        <v>Marvin Gundry</v>
      </c>
      <c r="G818" s="2" t="str">
        <f>IF(_xlfn.XLOOKUP(C818,customers!$A$1:$A$1001,customers!$C$1:$C$1001,0)=0,"",_xlfn.XLOOKUP(C818,customers!$A$1:$A$1001,customers!$C$1:$C$1001))</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6">
        <f>INDEX(products!$A$1:$G$49,MATCH(orders!$D818,products!$A$1:$A$49,0),MATCH(orders!L$1,products!$A$1:$G$1,0))</f>
        <v>9.51</v>
      </c>
      <c r="M818" s="6">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cm="1">
        <f t="array" ref="F819">_xlfn.XLOOKUP(C819,customers!A$1:$A$1001,customers!$B$1:$B$1001,0)</f>
        <v>Bayard Wellan</v>
      </c>
      <c r="G819" s="2" t="str">
        <f>IF(_xlfn.XLOOKUP(C819,customers!$A$1:$A$1001,customers!$C$1:$C$1001,0)=0,"",_xlfn.XLOOKUP(C819,customers!$A$1:$A$1001,customers!$C$1:$C$1001))</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6">
        <f>INDEX(products!$A$1:$G$49,MATCH(orders!$D819,products!$A$1:$A$49,0),MATCH(orders!L$1,products!$A$1:$G$1,0))</f>
        <v>7.77</v>
      </c>
      <c r="M819" s="6">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cm="1">
        <f t="array" ref="F820">_xlfn.XLOOKUP(C820,customers!A$1:$A$1001,customers!$B$1:$B$1001,0)</f>
        <v>Allis Wilmore</v>
      </c>
      <c r="G820" s="2" t="str">
        <f>IF(_xlfn.XLOOKUP(C820,customers!$A$1:$A$1001,customers!$C$1:$C$1001,0)=0,"",_xlfn.XLOOKUP(C820,customers!$A$1:$A$1001,customers!$C$1:$C$1001))</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6">
        <f>INDEX(products!$A$1:$G$49,MATCH(orders!$D820,products!$A$1:$A$49,0),MATCH(orders!L$1,products!$A$1:$G$1,0))</f>
        <v>15.85</v>
      </c>
      <c r="M820" s="6">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cm="1">
        <f t="array" ref="F821">_xlfn.XLOOKUP(C821,customers!A$1:$A$1001,customers!$B$1:$B$1001,0)</f>
        <v>Caddric Atcheson</v>
      </c>
      <c r="G821" s="2" t="str">
        <f>IF(_xlfn.XLOOKUP(C821,customers!$A$1:$A$1001,customers!$C$1:$C$1001,0)=0,"",_xlfn.XLOOKUP(C821,customers!$A$1:$A$1001,customers!$C$1:$C$1001))</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6">
        <f>INDEX(products!$A$1:$G$49,MATCH(orders!$D821,products!$A$1:$A$49,0),MATCH(orders!L$1,products!$A$1:$G$1,0))</f>
        <v>4.7549999999999999</v>
      </c>
      <c r="M821" s="6">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cm="1">
        <f t="array" ref="F822">_xlfn.XLOOKUP(C822,customers!A$1:$A$1001,customers!$B$1:$B$1001,0)</f>
        <v>Eustace Stenton</v>
      </c>
      <c r="G822" s="2" t="str">
        <f>IF(_xlfn.XLOOKUP(C822,customers!$A$1:$A$1001,customers!$C$1:$C$1001,0)=0,"",_xlfn.XLOOKUP(C822,customers!$A$1:$A$1001,customers!$C$1:$C$1001))</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6">
        <f>INDEX(products!$A$1:$G$49,MATCH(orders!$D822,products!$A$1:$A$49,0),MATCH(orders!L$1,products!$A$1:$G$1,0))</f>
        <v>13.75</v>
      </c>
      <c r="M822" s="6">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cm="1">
        <f t="array" ref="F823">_xlfn.XLOOKUP(C823,customers!A$1:$A$1001,customers!$B$1:$B$1001,0)</f>
        <v>Ericka Tripp</v>
      </c>
      <c r="G823" s="2" t="str">
        <f>IF(_xlfn.XLOOKUP(C823,customers!$A$1:$A$1001,customers!$C$1:$C$1001,0)=0,"",_xlfn.XLOOKUP(C823,customers!$A$1:$A$1001,customers!$C$1:$C$1001))</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6">
        <f>INDEX(products!$A$1:$G$49,MATCH(orders!$D823,products!$A$1:$A$49,0),MATCH(orders!L$1,products!$A$1:$G$1,0))</f>
        <v>5.3699999999999992</v>
      </c>
      <c r="M823" s="6">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cm="1">
        <f t="array" ref="F824">_xlfn.XLOOKUP(C824,customers!A$1:$A$1001,customers!$B$1:$B$1001,0)</f>
        <v>Lyndsey MacManus</v>
      </c>
      <c r="G824" s="2" t="str">
        <f>IF(_xlfn.XLOOKUP(C824,customers!$A$1:$A$1001,customers!$C$1:$C$1001,0)=0,"",_xlfn.XLOOKUP(C824,customers!$A$1:$A$1001,customers!$C$1:$C$1001))</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6">
        <f>INDEX(products!$A$1:$G$49,MATCH(orders!$D824,products!$A$1:$A$49,0),MATCH(orders!L$1,products!$A$1:$G$1,0))</f>
        <v>34.154999999999994</v>
      </c>
      <c r="M824" s="6">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cm="1">
        <f t="array" ref="F825">_xlfn.XLOOKUP(C825,customers!A$1:$A$1001,customers!$B$1:$B$1001,0)</f>
        <v>Tess Benediktovich</v>
      </c>
      <c r="G825" s="2" t="str">
        <f>IF(_xlfn.XLOOKUP(C825,customers!$A$1:$A$1001,customers!$C$1:$C$1001,0)=0,"",_xlfn.XLOOKUP(C825,customers!$A$1:$A$1001,customers!$C$1:$C$1001))</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6">
        <f>INDEX(products!$A$1:$G$49,MATCH(orders!$D825,products!$A$1:$A$49,0),MATCH(orders!L$1,products!$A$1:$G$1,0))</f>
        <v>15.85</v>
      </c>
      <c r="M825" s="6">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cm="1">
        <f t="array" ref="F826">_xlfn.XLOOKUP(C826,customers!A$1:$A$1001,customers!$B$1:$B$1001,0)</f>
        <v>Correy Bourner</v>
      </c>
      <c r="G826" s="2" t="str">
        <f>IF(_xlfn.XLOOKUP(C826,customers!$A$1:$A$1001,customers!$C$1:$C$1001,0)=0,"",_xlfn.XLOOKUP(C826,customers!$A$1:$A$1001,customers!$C$1:$C$1001))</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6">
        <f>INDEX(products!$A$1:$G$49,MATCH(orders!$D826,products!$A$1:$A$49,0),MATCH(orders!L$1,products!$A$1:$G$1,0))</f>
        <v>3.375</v>
      </c>
      <c r="M826" s="6">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cm="1">
        <f t="array" ref="F827">_xlfn.XLOOKUP(C827,customers!A$1:$A$1001,customers!$B$1:$B$1001,0)</f>
        <v>Odelia Skerme</v>
      </c>
      <c r="G827" s="2" t="str">
        <f>IF(_xlfn.XLOOKUP(C827,customers!$A$1:$A$1001,customers!$C$1:$C$1001,0)=0,"",_xlfn.XLOOKUP(C827,customers!$A$1:$A$1001,customers!$C$1:$C$1001))</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6">
        <f>INDEX(products!$A$1:$G$49,MATCH(orders!$D827,products!$A$1:$A$49,0),MATCH(orders!L$1,products!$A$1:$G$1,0))</f>
        <v>9.9499999999999993</v>
      </c>
      <c r="M827" s="6">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cm="1">
        <f t="array" ref="F828">_xlfn.XLOOKUP(C828,customers!A$1:$A$1001,customers!$B$1:$B$1001,0)</f>
        <v>Kandy Heddan</v>
      </c>
      <c r="G828" s="2" t="str">
        <f>IF(_xlfn.XLOOKUP(C828,customers!$A$1:$A$1001,customers!$C$1:$C$1001,0)=0,"",_xlfn.XLOOKUP(C828,customers!$A$1:$A$1001,customers!$C$1:$C$1001))</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6">
        <f>INDEX(products!$A$1:$G$49,MATCH(orders!$D828,products!$A$1:$A$49,0),MATCH(orders!L$1,products!$A$1:$G$1,0))</f>
        <v>8.25</v>
      </c>
      <c r="M828" s="6">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cm="1">
        <f t="array" ref="F829">_xlfn.XLOOKUP(C829,customers!A$1:$A$1001,customers!$B$1:$B$1001,0)</f>
        <v>Ibby Charters</v>
      </c>
      <c r="G829" s="2" t="str">
        <f>IF(_xlfn.XLOOKUP(C829,customers!$A$1:$A$1001,customers!$C$1:$C$1001,0)=0,"",_xlfn.XLOOKUP(C829,customers!$A$1:$A$1001,customers!$C$1:$C$1001))</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6">
        <f>INDEX(products!$A$1:$G$49,MATCH(orders!$D829,products!$A$1:$A$49,0),MATCH(orders!L$1,products!$A$1:$G$1,0))</f>
        <v>4.125</v>
      </c>
      <c r="M829" s="6">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cm="1">
        <f t="array" ref="F830">_xlfn.XLOOKUP(C830,customers!A$1:$A$1001,customers!$B$1:$B$1001,0)</f>
        <v>Adora Roubert</v>
      </c>
      <c r="G830" s="2" t="str">
        <f>IF(_xlfn.XLOOKUP(C830,customers!$A$1:$A$1001,customers!$C$1:$C$1001,0)=0,"",_xlfn.XLOOKUP(C830,customers!$A$1:$A$1001,customers!$C$1:$C$1001))</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6">
        <f>INDEX(products!$A$1:$G$49,MATCH(orders!$D830,products!$A$1:$A$49,0),MATCH(orders!L$1,products!$A$1:$G$1,0))</f>
        <v>22.884999999999998</v>
      </c>
      <c r="M830" s="6">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cm="1">
        <f t="array" ref="F831">_xlfn.XLOOKUP(C831,customers!A$1:$A$1001,customers!$B$1:$B$1001,0)</f>
        <v>Hillel Mairs</v>
      </c>
      <c r="G831" s="2" t="str">
        <f>IF(_xlfn.XLOOKUP(C831,customers!$A$1:$A$1001,customers!$C$1:$C$1001,0)=0,"",_xlfn.XLOOKUP(C831,customers!$A$1:$A$1001,customers!$C$1:$C$1001))</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6">
        <f>INDEX(products!$A$1:$G$49,MATCH(orders!$D831,products!$A$1:$A$49,0),MATCH(orders!L$1,products!$A$1:$G$1,0))</f>
        <v>2.9849999999999999</v>
      </c>
      <c r="M831" s="6">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cm="1">
        <f t="array" ref="F832">_xlfn.XLOOKUP(C832,customers!A$1:$A$1001,customers!$B$1:$B$1001,0)</f>
        <v>Helaina Rainforth</v>
      </c>
      <c r="G832" s="2" t="str">
        <f>IF(_xlfn.XLOOKUP(C832,customers!$A$1:$A$1001,customers!$C$1:$C$1001,0)=0,"",_xlfn.XLOOKUP(C832,customers!$A$1:$A$1001,customers!$C$1:$C$1001))</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6">
        <f>INDEX(products!$A$1:$G$49,MATCH(orders!$D832,products!$A$1:$A$49,0),MATCH(orders!L$1,products!$A$1:$G$1,0))</f>
        <v>13.75</v>
      </c>
      <c r="M832" s="6">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cm="1">
        <f t="array" ref="F833">_xlfn.XLOOKUP(C833,customers!A$1:$A$1001,customers!$B$1:$B$1001,0)</f>
        <v>Helaina Rainforth</v>
      </c>
      <c r="G833" s="2" t="str">
        <f>IF(_xlfn.XLOOKUP(C833,customers!$A$1:$A$1001,customers!$C$1:$C$1001,0)=0,"",_xlfn.XLOOKUP(C833,customers!$A$1:$A$1001,customers!$C$1:$C$1001))</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6">
        <f>INDEX(products!$A$1:$G$49,MATCH(orders!$D833,products!$A$1:$A$49,0),MATCH(orders!L$1,products!$A$1:$G$1,0))</f>
        <v>2.9849999999999999</v>
      </c>
      <c r="M833" s="6">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cm="1">
        <f t="array" ref="F834">_xlfn.XLOOKUP(C834,customers!A$1:$A$1001,customers!$B$1:$B$1001,0)</f>
        <v>Isac Jesper</v>
      </c>
      <c r="G834" s="2" t="str">
        <f>IF(_xlfn.XLOOKUP(C834,customers!$A$1:$A$1001,customers!$C$1:$C$1001,0)=0,"",_xlfn.XLOOKUP(C834,customers!$A$1:$A$1001,customers!$C$1:$C$1001))</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6">
        <f>INDEX(products!$A$1:$G$49,MATCH(orders!$D834,products!$A$1:$A$49,0),MATCH(orders!L$1,products!$A$1:$G$1,0))</f>
        <v>9.9499999999999993</v>
      </c>
      <c r="M834" s="6">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cm="1">
        <f t="array" ref="F835">_xlfn.XLOOKUP(C835,customers!A$1:$A$1001,customers!$B$1:$B$1001,0)</f>
        <v>Lenette Dwerryhouse</v>
      </c>
      <c r="G835" s="2" t="str">
        <f>IF(_xlfn.XLOOKUP(C835,customers!$A$1:$A$1001,customers!$C$1:$C$1001,0)=0,"",_xlfn.XLOOKUP(C835,customers!$A$1:$A$1001,customers!$C$1:$C$1001))</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6">
        <f>INDEX(products!$A$1:$G$49,MATCH(orders!$D835,products!$A$1:$A$49,0),MATCH(orders!L$1,products!$A$1:$G$1,0))</f>
        <v>20.584999999999997</v>
      </c>
      <c r="M835" s="6">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cm="1">
        <f t="array" ref="F836">_xlfn.XLOOKUP(C836,customers!A$1:$A$1001,customers!$B$1:$B$1001,0)</f>
        <v>Nadeen Broomer</v>
      </c>
      <c r="G836" s="2" t="str">
        <f>IF(_xlfn.XLOOKUP(C836,customers!$A$1:$A$1001,customers!$C$1:$C$1001,0)=0,"",_xlfn.XLOOKUP(C836,customers!$A$1:$A$1001,customers!$C$1:$C$1001))</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6">
        <f>INDEX(products!$A$1:$G$49,MATCH(orders!$D836,products!$A$1:$A$49,0),MATCH(orders!L$1,products!$A$1:$G$1,0))</f>
        <v>22.884999999999998</v>
      </c>
      <c r="M836" s="6">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cm="1">
        <f t="array" ref="F837">_xlfn.XLOOKUP(C837,customers!A$1:$A$1001,customers!$B$1:$B$1001,0)</f>
        <v>Konstantine Thoumasson</v>
      </c>
      <c r="G837" s="2" t="str">
        <f>IF(_xlfn.XLOOKUP(C837,customers!$A$1:$A$1001,customers!$C$1:$C$1001,0)=0,"",_xlfn.XLOOKUP(C837,customers!$A$1:$A$1001,customers!$C$1:$C$1001))</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6">
        <f>INDEX(products!$A$1:$G$49,MATCH(orders!$D837,products!$A$1:$A$49,0),MATCH(orders!L$1,products!$A$1:$G$1,0))</f>
        <v>8.91</v>
      </c>
      <c r="M837" s="6">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cm="1">
        <f t="array" ref="F838">_xlfn.XLOOKUP(C838,customers!A$1:$A$1001,customers!$B$1:$B$1001,0)</f>
        <v>Frans Habbergham</v>
      </c>
      <c r="G838" s="2" t="str">
        <f>IF(_xlfn.XLOOKUP(C838,customers!$A$1:$A$1001,customers!$C$1:$C$1001,0)=0,"",_xlfn.XLOOKUP(C838,customers!$A$1:$A$1001,customers!$C$1:$C$1001))</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6">
        <f>INDEX(products!$A$1:$G$49,MATCH(orders!$D838,products!$A$1:$A$49,0),MATCH(orders!L$1,products!$A$1:$G$1,0))</f>
        <v>2.9849999999999999</v>
      </c>
      <c r="M838" s="6">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cm="1">
        <f t="array" ref="F839">_xlfn.XLOOKUP(C839,customers!A$1:$A$1001,customers!$B$1:$B$1001,0)</f>
        <v>Allis Wilmore</v>
      </c>
      <c r="G839" s="2" t="str">
        <f>IF(_xlfn.XLOOKUP(C839,customers!$A$1:$A$1001,customers!$C$1:$C$1001,0)=0,"",_xlfn.XLOOKUP(C839,customers!$A$1:$A$1001,customers!$C$1:$C$1001))</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6">
        <f>INDEX(products!$A$1:$G$49,MATCH(orders!$D839,products!$A$1:$A$49,0),MATCH(orders!L$1,products!$A$1:$G$1,0))</f>
        <v>33.464999999999996</v>
      </c>
      <c r="M839" s="6">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cm="1">
        <f t="array" ref="F840">_xlfn.XLOOKUP(C840,customers!A$1:$A$1001,customers!$B$1:$B$1001,0)</f>
        <v>Romain Avrashin</v>
      </c>
      <c r="G840" s="2" t="str">
        <f>IF(_xlfn.XLOOKUP(C840,customers!$A$1:$A$1001,customers!$C$1:$C$1001,0)=0,"",_xlfn.XLOOKUP(C840,customers!$A$1:$A$1001,customers!$C$1:$C$1001))</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6">
        <f>INDEX(products!$A$1:$G$49,MATCH(orders!$D840,products!$A$1:$A$49,0),MATCH(orders!L$1,products!$A$1:$G$1,0))</f>
        <v>22.884999999999998</v>
      </c>
      <c r="M840" s="6">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cm="1">
        <f t="array" ref="F841">_xlfn.XLOOKUP(C841,customers!A$1:$A$1001,customers!$B$1:$B$1001,0)</f>
        <v>Miran Doidge</v>
      </c>
      <c r="G841" s="2" t="str">
        <f>IF(_xlfn.XLOOKUP(C841,customers!$A$1:$A$1001,customers!$C$1:$C$1001,0)=0,"",_xlfn.XLOOKUP(C841,customers!$A$1:$A$1001,customers!$C$1:$C$1001))</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6">
        <f>INDEX(products!$A$1:$G$49,MATCH(orders!$D841,products!$A$1:$A$49,0),MATCH(orders!L$1,products!$A$1:$G$1,0))</f>
        <v>8.25</v>
      </c>
      <c r="M841" s="6">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cm="1">
        <f t="array" ref="F842">_xlfn.XLOOKUP(C842,customers!A$1:$A$1001,customers!$B$1:$B$1001,0)</f>
        <v>Janeva Edinboro</v>
      </c>
      <c r="G842" s="2" t="str">
        <f>IF(_xlfn.XLOOKUP(C842,customers!$A$1:$A$1001,customers!$C$1:$C$1001,0)=0,"",_xlfn.XLOOKUP(C842,customers!$A$1:$A$1001,customers!$C$1:$C$1001))</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6">
        <f>INDEX(products!$A$1:$G$49,MATCH(orders!$D842,products!$A$1:$A$49,0),MATCH(orders!L$1,products!$A$1:$G$1,0))</f>
        <v>7.169999999999999</v>
      </c>
      <c r="M842" s="6">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cm="1">
        <f t="array" ref="F843">_xlfn.XLOOKUP(C843,customers!A$1:$A$1001,customers!$B$1:$B$1001,0)</f>
        <v>Trumaine Tewelson</v>
      </c>
      <c r="G843" s="2" t="str">
        <f>IF(_xlfn.XLOOKUP(C843,customers!$A$1:$A$1001,customers!$C$1:$C$1001,0)=0,"",_xlfn.XLOOKUP(C843,customers!$A$1:$A$1001,customers!$C$1:$C$1001))</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6">
        <f>INDEX(products!$A$1:$G$49,MATCH(orders!$D843,products!$A$1:$A$49,0),MATCH(orders!L$1,products!$A$1:$G$1,0))</f>
        <v>4.3650000000000002</v>
      </c>
      <c r="M843" s="6">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cm="1">
        <f t="array" ref="F844">_xlfn.XLOOKUP(C844,customers!A$1:$A$1001,customers!$B$1:$B$1001,0)</f>
        <v>Odelia Skerme</v>
      </c>
      <c r="G844" s="2" t="str">
        <f>IF(_xlfn.XLOOKUP(C844,customers!$A$1:$A$1001,customers!$C$1:$C$1001,0)=0,"",_xlfn.XLOOKUP(C844,customers!$A$1:$A$1001,customers!$C$1:$C$1001))</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6">
        <f>INDEX(products!$A$1:$G$49,MATCH(orders!$D844,products!$A$1:$A$49,0),MATCH(orders!L$1,products!$A$1:$G$1,0))</f>
        <v>4.125</v>
      </c>
      <c r="M844" s="6">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cm="1">
        <f t="array" ref="F845">_xlfn.XLOOKUP(C845,customers!A$1:$A$1001,customers!$B$1:$B$1001,0)</f>
        <v>De Drewitt</v>
      </c>
      <c r="G845" s="2" t="str">
        <f>IF(_xlfn.XLOOKUP(C845,customers!$A$1:$A$1001,customers!$C$1:$C$1001,0)=0,"",_xlfn.XLOOKUP(C845,customers!$A$1:$A$1001,customers!$C$1:$C$1001))</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6">
        <f>INDEX(products!$A$1:$G$49,MATCH(orders!$D845,products!$A$1:$A$49,0),MATCH(orders!L$1,products!$A$1:$G$1,0))</f>
        <v>4.125</v>
      </c>
      <c r="M845" s="6">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cm="1">
        <f t="array" ref="F846">_xlfn.XLOOKUP(C846,customers!A$1:$A$1001,customers!$B$1:$B$1001,0)</f>
        <v>Adelheid Gladhill</v>
      </c>
      <c r="G846" s="2" t="str">
        <f>IF(_xlfn.XLOOKUP(C846,customers!$A$1:$A$1001,customers!$C$1:$C$1001,0)=0,"",_xlfn.XLOOKUP(C846,customers!$A$1:$A$1001,customers!$C$1:$C$1001))</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6">
        <f>INDEX(products!$A$1:$G$49,MATCH(orders!$D846,products!$A$1:$A$49,0),MATCH(orders!L$1,products!$A$1:$G$1,0))</f>
        <v>5.97</v>
      </c>
      <c r="M846" s="6">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cm="1">
        <f t="array" ref="F847">_xlfn.XLOOKUP(C847,customers!A$1:$A$1001,customers!$B$1:$B$1001,0)</f>
        <v>Murielle Lorinez</v>
      </c>
      <c r="G847" s="2" t="str">
        <f>IF(_xlfn.XLOOKUP(C847,customers!$A$1:$A$1001,customers!$C$1:$C$1001,0)=0,"",_xlfn.XLOOKUP(C847,customers!$A$1:$A$1001,customers!$C$1:$C$1001))</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6">
        <f>INDEX(products!$A$1:$G$49,MATCH(orders!$D847,products!$A$1:$A$49,0),MATCH(orders!L$1,products!$A$1:$G$1,0))</f>
        <v>27.945</v>
      </c>
      <c r="M847" s="6">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cm="1">
        <f t="array" ref="F848">_xlfn.XLOOKUP(C848,customers!A$1:$A$1001,customers!$B$1:$B$1001,0)</f>
        <v>Edin Mathe</v>
      </c>
      <c r="G848" s="2" t="str">
        <f>IF(_xlfn.XLOOKUP(C848,customers!$A$1:$A$1001,customers!$C$1:$C$1001,0)=0,"",_xlfn.XLOOKUP(C848,customers!$A$1:$A$1001,customers!$C$1:$C$1001))</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6">
        <f>INDEX(products!$A$1:$G$49,MATCH(orders!$D848,products!$A$1:$A$49,0),MATCH(orders!L$1,products!$A$1:$G$1,0))</f>
        <v>25.874999999999996</v>
      </c>
      <c r="M848" s="6">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cm="1">
        <f t="array" ref="F849">_xlfn.XLOOKUP(C849,customers!A$1:$A$1001,customers!$B$1:$B$1001,0)</f>
        <v>Mordy Van Der Vlies</v>
      </c>
      <c r="G849" s="2" t="str">
        <f>IF(_xlfn.XLOOKUP(C849,customers!$A$1:$A$1001,customers!$C$1:$C$1001,0)=0,"",_xlfn.XLOOKUP(C849,customers!$A$1:$A$1001,customers!$C$1:$C$1001))</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6">
        <f>INDEX(products!$A$1:$G$49,MATCH(orders!$D849,products!$A$1:$A$49,0),MATCH(orders!L$1,products!$A$1:$G$1,0))</f>
        <v>2.9849999999999999</v>
      </c>
      <c r="M849" s="6">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cm="1">
        <f t="array" ref="F850">_xlfn.XLOOKUP(C850,customers!A$1:$A$1001,customers!$B$1:$B$1001,0)</f>
        <v>Spencer Wastell</v>
      </c>
      <c r="G850" s="2" t="str">
        <f>IF(_xlfn.XLOOKUP(C850,customers!$A$1:$A$1001,customers!$C$1:$C$1001,0)=0,"",_xlfn.XLOOKUP(C850,customers!$A$1:$A$1001,customers!$C$1:$C$1001))</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6">
        <f>INDEX(products!$A$1:$G$49,MATCH(orders!$D850,products!$A$1:$A$49,0),MATCH(orders!L$1,products!$A$1:$G$1,0))</f>
        <v>8.91</v>
      </c>
      <c r="M850" s="6">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cm="1">
        <f t="array" ref="F851">_xlfn.XLOOKUP(C851,customers!A$1:$A$1001,customers!$B$1:$B$1001,0)</f>
        <v>Jemimah Ethelston</v>
      </c>
      <c r="G851" s="2" t="str">
        <f>IF(_xlfn.XLOOKUP(C851,customers!$A$1:$A$1001,customers!$C$1:$C$1001,0)=0,"",_xlfn.XLOOKUP(C851,customers!$A$1:$A$1001,customers!$C$1:$C$1001))</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6">
        <f>INDEX(products!$A$1:$G$49,MATCH(orders!$D851,products!$A$1:$A$49,0),MATCH(orders!L$1,products!$A$1:$G$1,0))</f>
        <v>3.8849999999999998</v>
      </c>
      <c r="M851" s="6">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cm="1">
        <f t="array" ref="F852">_xlfn.XLOOKUP(C852,customers!A$1:$A$1001,customers!$B$1:$B$1001,0)</f>
        <v>Jemimah Ethelston</v>
      </c>
      <c r="G852" s="2" t="str">
        <f>IF(_xlfn.XLOOKUP(C852,customers!$A$1:$A$1001,customers!$C$1:$C$1001,0)=0,"",_xlfn.XLOOKUP(C852,customers!$A$1:$A$1001,customers!$C$1:$C$1001))</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6">
        <f>INDEX(products!$A$1:$G$49,MATCH(orders!$D852,products!$A$1:$A$49,0),MATCH(orders!L$1,products!$A$1:$G$1,0))</f>
        <v>3.375</v>
      </c>
      <c r="M852" s="6">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cm="1">
        <f t="array" ref="F853">_xlfn.XLOOKUP(C853,customers!A$1:$A$1001,customers!$B$1:$B$1001,0)</f>
        <v>Perice Eberz</v>
      </c>
      <c r="G853" s="2" t="str">
        <f>IF(_xlfn.XLOOKUP(C853,customers!$A$1:$A$1001,customers!$C$1:$C$1001,0)=0,"",_xlfn.XLOOKUP(C853,customers!$A$1:$A$1001,customers!$C$1:$C$1001))</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6">
        <f>INDEX(products!$A$1:$G$49,MATCH(orders!$D853,products!$A$1:$A$49,0),MATCH(orders!L$1,products!$A$1:$G$1,0))</f>
        <v>7.77</v>
      </c>
      <c r="M853" s="6">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cm="1">
        <f t="array" ref="F854">_xlfn.XLOOKUP(C854,customers!A$1:$A$1001,customers!$B$1:$B$1001,0)</f>
        <v>Bear Gaish</v>
      </c>
      <c r="G854" s="2" t="str">
        <f>IF(_xlfn.XLOOKUP(C854,customers!$A$1:$A$1001,customers!$C$1:$C$1001,0)=0,"",_xlfn.XLOOKUP(C854,customers!$A$1:$A$1001,customers!$C$1:$C$1001))</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6">
        <f>INDEX(products!$A$1:$G$49,MATCH(orders!$D854,products!$A$1:$A$49,0),MATCH(orders!L$1,products!$A$1:$G$1,0))</f>
        <v>29.784999999999997</v>
      </c>
      <c r="M854" s="6">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cm="1">
        <f t="array" ref="F855">_xlfn.XLOOKUP(C855,customers!A$1:$A$1001,customers!$B$1:$B$1001,0)</f>
        <v>Lynnea Danton</v>
      </c>
      <c r="G855" s="2" t="str">
        <f>IF(_xlfn.XLOOKUP(C855,customers!$A$1:$A$1001,customers!$C$1:$C$1001,0)=0,"",_xlfn.XLOOKUP(C855,customers!$A$1:$A$1001,customers!$C$1:$C$1001))</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6">
        <f>INDEX(products!$A$1:$G$49,MATCH(orders!$D855,products!$A$1:$A$49,0),MATCH(orders!L$1,products!$A$1:$G$1,0))</f>
        <v>9.9499999999999993</v>
      </c>
      <c r="M855" s="6">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cm="1">
        <f t="array" ref="F856">_xlfn.XLOOKUP(C856,customers!A$1:$A$1001,customers!$B$1:$B$1001,0)</f>
        <v>Skipton Morrall</v>
      </c>
      <c r="G856" s="2" t="str">
        <f>IF(_xlfn.XLOOKUP(C856,customers!$A$1:$A$1001,customers!$C$1:$C$1001,0)=0,"",_xlfn.XLOOKUP(C856,customers!$A$1:$A$1001,customers!$C$1:$C$1001))</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6">
        <f>INDEX(products!$A$1:$G$49,MATCH(orders!$D856,products!$A$1:$A$49,0),MATCH(orders!L$1,products!$A$1:$G$1,0))</f>
        <v>7.169999999999999</v>
      </c>
      <c r="M856" s="6">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cm="1">
        <f t="array" ref="F857">_xlfn.XLOOKUP(C857,customers!A$1:$A$1001,customers!$B$1:$B$1001,0)</f>
        <v>Devan Crownshaw</v>
      </c>
      <c r="G857" s="2" t="str">
        <f>IF(_xlfn.XLOOKUP(C857,customers!$A$1:$A$1001,customers!$C$1:$C$1001,0)=0,"",_xlfn.XLOOKUP(C857,customers!$A$1:$A$1001,customers!$C$1:$C$1001))</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6">
        <f>INDEX(products!$A$1:$G$49,MATCH(orders!$D857,products!$A$1:$A$49,0),MATCH(orders!L$1,products!$A$1:$G$1,0))</f>
        <v>29.784999999999997</v>
      </c>
      <c r="M857" s="6">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cm="1">
        <f t="array" ref="F858">_xlfn.XLOOKUP(C858,customers!A$1:$A$1001,customers!$B$1:$B$1001,0)</f>
        <v>Odelia Skerme</v>
      </c>
      <c r="G858" s="2" t="str">
        <f>IF(_xlfn.XLOOKUP(C858,customers!$A$1:$A$1001,customers!$C$1:$C$1001,0)=0,"",_xlfn.XLOOKUP(C858,customers!$A$1:$A$1001,customers!$C$1:$C$1001))</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6">
        <f>INDEX(products!$A$1:$G$49,MATCH(orders!$D858,products!$A$1:$A$49,0),MATCH(orders!L$1,products!$A$1:$G$1,0))</f>
        <v>4.3650000000000002</v>
      </c>
      <c r="M858" s="6">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cm="1">
        <f t="array" ref="F859">_xlfn.XLOOKUP(C859,customers!A$1:$A$1001,customers!$B$1:$B$1001,0)</f>
        <v>Joceline Reddoch</v>
      </c>
      <c r="G859" s="2" t="str">
        <f>IF(_xlfn.XLOOKUP(C859,customers!$A$1:$A$1001,customers!$C$1:$C$1001,0)=0,"",_xlfn.XLOOKUP(C859,customers!$A$1:$A$1001,customers!$C$1:$C$1001))</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6">
        <f>INDEX(products!$A$1:$G$49,MATCH(orders!$D859,products!$A$1:$A$49,0),MATCH(orders!L$1,products!$A$1:$G$1,0))</f>
        <v>27.484999999999996</v>
      </c>
      <c r="M859" s="6">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cm="1">
        <f t="array" ref="F860">_xlfn.XLOOKUP(C860,customers!A$1:$A$1001,customers!$B$1:$B$1001,0)</f>
        <v>Shelley Titley</v>
      </c>
      <c r="G860" s="2" t="str">
        <f>IF(_xlfn.XLOOKUP(C860,customers!$A$1:$A$1001,customers!$C$1:$C$1001,0)=0,"",_xlfn.XLOOKUP(C860,customers!$A$1:$A$1001,customers!$C$1:$C$1001))</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6">
        <f>INDEX(products!$A$1:$G$49,MATCH(orders!$D860,products!$A$1:$A$49,0),MATCH(orders!L$1,products!$A$1:$G$1,0))</f>
        <v>8.73</v>
      </c>
      <c r="M860" s="6">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cm="1">
        <f t="array" ref="F861">_xlfn.XLOOKUP(C861,customers!A$1:$A$1001,customers!$B$1:$B$1001,0)</f>
        <v>Redd Simao</v>
      </c>
      <c r="G861" s="2" t="str">
        <f>IF(_xlfn.XLOOKUP(C861,customers!$A$1:$A$1001,customers!$C$1:$C$1001,0)=0,"",_xlfn.XLOOKUP(C861,customers!$A$1:$A$1001,customers!$C$1:$C$1001))</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6">
        <f>INDEX(products!$A$1:$G$49,MATCH(orders!$D861,products!$A$1:$A$49,0),MATCH(orders!L$1,products!$A$1:$G$1,0))</f>
        <v>29.784999999999997</v>
      </c>
      <c r="M861" s="6">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cm="1">
        <f t="array" ref="F862">_xlfn.XLOOKUP(C862,customers!A$1:$A$1001,customers!$B$1:$B$1001,0)</f>
        <v>Cece Inker</v>
      </c>
      <c r="G862" s="2" t="str">
        <f>IF(_xlfn.XLOOKUP(C862,customers!$A$1:$A$1001,customers!$C$1:$C$1001,0)=0,"",_xlfn.XLOOKUP(C862,customers!$A$1:$A$1001,customers!$C$1:$C$1001))</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6">
        <f>INDEX(products!$A$1:$G$49,MATCH(orders!$D862,products!$A$1:$A$49,0),MATCH(orders!L$1,products!$A$1:$G$1,0))</f>
        <v>25.874999999999996</v>
      </c>
      <c r="M862" s="6">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cm="1">
        <f t="array" ref="F863">_xlfn.XLOOKUP(C863,customers!A$1:$A$1001,customers!$B$1:$B$1001,0)</f>
        <v>Noel Chisholm</v>
      </c>
      <c r="G863" s="2" t="str">
        <f>IF(_xlfn.XLOOKUP(C863,customers!$A$1:$A$1001,customers!$C$1:$C$1001,0)=0,"",_xlfn.XLOOKUP(C863,customers!$A$1:$A$1001,customers!$C$1:$C$1001))</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6">
        <f>INDEX(products!$A$1:$G$49,MATCH(orders!$D863,products!$A$1:$A$49,0),MATCH(orders!L$1,products!$A$1:$G$1,0))</f>
        <v>12.95</v>
      </c>
      <c r="M863" s="6">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cm="1">
        <f t="array" ref="F864">_xlfn.XLOOKUP(C864,customers!A$1:$A$1001,customers!$B$1:$B$1001,0)</f>
        <v>Grazia Oats</v>
      </c>
      <c r="G864" s="2" t="str">
        <f>IF(_xlfn.XLOOKUP(C864,customers!$A$1:$A$1001,customers!$C$1:$C$1001,0)=0,"",_xlfn.XLOOKUP(C864,customers!$A$1:$A$1001,customers!$C$1:$C$1001))</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6">
        <f>INDEX(products!$A$1:$G$49,MATCH(orders!$D864,products!$A$1:$A$49,0),MATCH(orders!L$1,products!$A$1:$G$1,0))</f>
        <v>9.9499999999999993</v>
      </c>
      <c r="M864" s="6">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cm="1">
        <f t="array" ref="F865">_xlfn.XLOOKUP(C865,customers!A$1:$A$1001,customers!$B$1:$B$1001,0)</f>
        <v>Meade Birkin</v>
      </c>
      <c r="G865" s="2" t="str">
        <f>IF(_xlfn.XLOOKUP(C865,customers!$A$1:$A$1001,customers!$C$1:$C$1001,0)=0,"",_xlfn.XLOOKUP(C865,customers!$A$1:$A$1001,customers!$C$1:$C$1001))</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6">
        <f>INDEX(products!$A$1:$G$49,MATCH(orders!$D865,products!$A$1:$A$49,0),MATCH(orders!L$1,products!$A$1:$G$1,0))</f>
        <v>14.55</v>
      </c>
      <c r="M865" s="6">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cm="1">
        <f t="array" ref="F866">_xlfn.XLOOKUP(C866,customers!A$1:$A$1001,customers!$B$1:$B$1001,0)</f>
        <v>Ronda Pyson</v>
      </c>
      <c r="G866" s="2" t="str">
        <f>IF(_xlfn.XLOOKUP(C866,customers!$A$1:$A$1001,customers!$C$1:$C$1001,0)=0,"",_xlfn.XLOOKUP(C866,customers!$A$1:$A$1001,customers!$C$1:$C$1001))</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6">
        <f>INDEX(products!$A$1:$G$49,MATCH(orders!$D866,products!$A$1:$A$49,0),MATCH(orders!L$1,products!$A$1:$G$1,0))</f>
        <v>3.5849999999999995</v>
      </c>
      <c r="M866" s="6">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cm="1">
        <f t="array" ref="F867">_xlfn.XLOOKUP(C867,customers!A$1:$A$1001,customers!$B$1:$B$1001,0)</f>
        <v>Modesty MacConnechie</v>
      </c>
      <c r="G867" s="2" t="str">
        <f>IF(_xlfn.XLOOKUP(C867,customers!$A$1:$A$1001,customers!$C$1:$C$1001,0)=0,"",_xlfn.XLOOKUP(C867,customers!$A$1:$A$1001,customers!$C$1:$C$1001))</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6">
        <f>INDEX(products!$A$1:$G$49,MATCH(orders!$D867,products!$A$1:$A$49,0),MATCH(orders!L$1,products!$A$1:$G$1,0))</f>
        <v>6.75</v>
      </c>
      <c r="M867" s="6">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cm="1">
        <f t="array" ref="F868">_xlfn.XLOOKUP(C868,customers!A$1:$A$1001,customers!$B$1:$B$1001,0)</f>
        <v>Rafaela Treacher</v>
      </c>
      <c r="G868" s="2" t="str">
        <f>IF(_xlfn.XLOOKUP(C868,customers!$A$1:$A$1001,customers!$C$1:$C$1001,0)=0,"",_xlfn.XLOOKUP(C868,customers!$A$1:$A$1001,customers!$C$1:$C$1001))</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6">
        <f>INDEX(products!$A$1:$G$49,MATCH(orders!$D868,products!$A$1:$A$49,0),MATCH(orders!L$1,products!$A$1:$G$1,0))</f>
        <v>5.97</v>
      </c>
      <c r="M868" s="6">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cm="1">
        <f t="array" ref="F869">_xlfn.XLOOKUP(C869,customers!A$1:$A$1001,customers!$B$1:$B$1001,0)</f>
        <v>Bee Fattorini</v>
      </c>
      <c r="G869" s="2" t="str">
        <f>IF(_xlfn.XLOOKUP(C869,customers!$A$1:$A$1001,customers!$C$1:$C$1001,0)=0,"",_xlfn.XLOOKUP(C869,customers!$A$1:$A$1001,customers!$C$1:$C$1001))</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6">
        <f>INDEX(products!$A$1:$G$49,MATCH(orders!$D869,products!$A$1:$A$49,0),MATCH(orders!L$1,products!$A$1:$G$1,0))</f>
        <v>29.784999999999997</v>
      </c>
      <c r="M869" s="6">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cm="1">
        <f t="array" ref="F870">_xlfn.XLOOKUP(C870,customers!A$1:$A$1001,customers!$B$1:$B$1001,0)</f>
        <v>Margie Palleske</v>
      </c>
      <c r="G870" s="2" t="str">
        <f>IF(_xlfn.XLOOKUP(C870,customers!$A$1:$A$1001,customers!$C$1:$C$1001,0)=0,"",_xlfn.XLOOKUP(C870,customers!$A$1:$A$1001,customers!$C$1:$C$1001))</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6">
        <f>INDEX(products!$A$1:$G$49,MATCH(orders!$D870,products!$A$1:$A$49,0),MATCH(orders!L$1,products!$A$1:$G$1,0))</f>
        <v>8.25</v>
      </c>
      <c r="M870" s="6">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cm="1">
        <f t="array" ref="F871">_xlfn.XLOOKUP(C871,customers!A$1:$A$1001,customers!$B$1:$B$1001,0)</f>
        <v>Alexina Randals</v>
      </c>
      <c r="G871" s="2" t="str">
        <f>IF(_xlfn.XLOOKUP(C871,customers!$A$1:$A$1001,customers!$C$1:$C$1001,0)=0,"",_xlfn.XLOOKUP(C871,customers!$A$1:$A$1001,customers!$C$1:$C$1001))</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6">
        <f>INDEX(products!$A$1:$G$49,MATCH(orders!$D871,products!$A$1:$A$49,0),MATCH(orders!L$1,products!$A$1:$G$1,0))</f>
        <v>5.97</v>
      </c>
      <c r="M871" s="6">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cm="1">
        <f t="array" ref="F872">_xlfn.XLOOKUP(C872,customers!A$1:$A$1001,customers!$B$1:$B$1001,0)</f>
        <v>Filip Antcliffe</v>
      </c>
      <c r="G872" s="2" t="str">
        <f>IF(_xlfn.XLOOKUP(C872,customers!$A$1:$A$1001,customers!$C$1:$C$1001,0)=0,"",_xlfn.XLOOKUP(C872,customers!$A$1:$A$1001,customers!$C$1:$C$1001))</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6">
        <f>INDEX(products!$A$1:$G$49,MATCH(orders!$D872,products!$A$1:$A$49,0),MATCH(orders!L$1,products!$A$1:$G$1,0))</f>
        <v>7.29</v>
      </c>
      <c r="M872" s="6">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cm="1">
        <f t="array" ref="F873">_xlfn.XLOOKUP(C873,customers!A$1:$A$1001,customers!$B$1:$B$1001,0)</f>
        <v>Peyter Matignon</v>
      </c>
      <c r="G873" s="2" t="str">
        <f>IF(_xlfn.XLOOKUP(C873,customers!$A$1:$A$1001,customers!$C$1:$C$1001,0)=0,"",_xlfn.XLOOKUP(C873,customers!$A$1:$A$1001,customers!$C$1:$C$1001))</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6">
        <f>INDEX(products!$A$1:$G$49,MATCH(orders!$D873,products!$A$1:$A$49,0),MATCH(orders!L$1,products!$A$1:$G$1,0))</f>
        <v>14.85</v>
      </c>
      <c r="M873" s="6">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cm="1">
        <f t="array" ref="F874">_xlfn.XLOOKUP(C874,customers!A$1:$A$1001,customers!$B$1:$B$1001,0)</f>
        <v>Claudie Weond</v>
      </c>
      <c r="G874" s="2" t="str">
        <f>IF(_xlfn.XLOOKUP(C874,customers!$A$1:$A$1001,customers!$C$1:$C$1001,0)=0,"",_xlfn.XLOOKUP(C874,customers!$A$1:$A$1001,customers!$C$1:$C$1001))</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6">
        <f>INDEX(products!$A$1:$G$49,MATCH(orders!$D874,products!$A$1:$A$49,0),MATCH(orders!L$1,products!$A$1:$G$1,0))</f>
        <v>11.25</v>
      </c>
      <c r="M874" s="6">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cm="1">
        <f t="array" ref="F875">_xlfn.XLOOKUP(C875,customers!A$1:$A$1001,customers!$B$1:$B$1001,0)</f>
        <v>Modesty MacConnechie</v>
      </c>
      <c r="G875" s="2" t="str">
        <f>IF(_xlfn.XLOOKUP(C875,customers!$A$1:$A$1001,customers!$C$1:$C$1001,0)=0,"",_xlfn.XLOOKUP(C875,customers!$A$1:$A$1001,customers!$C$1:$C$1001))</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6">
        <f>INDEX(products!$A$1:$G$49,MATCH(orders!$D875,products!$A$1:$A$49,0),MATCH(orders!L$1,products!$A$1:$G$1,0))</f>
        <v>2.9849999999999999</v>
      </c>
      <c r="M875" s="6">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cm="1">
        <f t="array" ref="F876">_xlfn.XLOOKUP(C876,customers!A$1:$A$1001,customers!$B$1:$B$1001,0)</f>
        <v>Jaquenette Skentelbery</v>
      </c>
      <c r="G876" s="2" t="str">
        <f>IF(_xlfn.XLOOKUP(C876,customers!$A$1:$A$1001,customers!$C$1:$C$1001,0)=0,"",_xlfn.XLOOKUP(C876,customers!$A$1:$A$1001,customers!$C$1:$C$1001))</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6">
        <f>INDEX(products!$A$1:$G$49,MATCH(orders!$D876,products!$A$1:$A$49,0),MATCH(orders!L$1,products!$A$1:$G$1,0))</f>
        <v>12.95</v>
      </c>
      <c r="M876" s="6">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cm="1">
        <f t="array" ref="F877">_xlfn.XLOOKUP(C877,customers!A$1:$A$1001,customers!$B$1:$B$1001,0)</f>
        <v>Orazio Comber</v>
      </c>
      <c r="G877" s="2" t="str">
        <f>IF(_xlfn.XLOOKUP(C877,customers!$A$1:$A$1001,customers!$C$1:$C$1001,0)=0,"",_xlfn.XLOOKUP(C877,customers!$A$1:$A$1001,customers!$C$1:$C$1001))</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6">
        <f>INDEX(products!$A$1:$G$49,MATCH(orders!$D877,products!$A$1:$A$49,0),MATCH(orders!L$1,products!$A$1:$G$1,0))</f>
        <v>8.73</v>
      </c>
      <c r="M877" s="6">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cm="1">
        <f t="array" ref="F878">_xlfn.XLOOKUP(C878,customers!A$1:$A$1001,customers!$B$1:$B$1001,0)</f>
        <v>Orazio Comber</v>
      </c>
      <c r="G878" s="2" t="str">
        <f>IF(_xlfn.XLOOKUP(C878,customers!$A$1:$A$1001,customers!$C$1:$C$1001,0)=0,"",_xlfn.XLOOKUP(C878,customers!$A$1:$A$1001,customers!$C$1:$C$1001))</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6">
        <f>INDEX(products!$A$1:$G$49,MATCH(orders!$D878,products!$A$1:$A$49,0),MATCH(orders!L$1,products!$A$1:$G$1,0))</f>
        <v>7.77</v>
      </c>
      <c r="M878" s="6">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cm="1">
        <f t="array" ref="F879">_xlfn.XLOOKUP(C879,customers!A$1:$A$1001,customers!$B$1:$B$1001,0)</f>
        <v>Zachary Tramel</v>
      </c>
      <c r="G879" s="2" t="str">
        <f>IF(_xlfn.XLOOKUP(C879,customers!$A$1:$A$1001,customers!$C$1:$C$1001,0)=0,"",_xlfn.XLOOKUP(C879,customers!$A$1:$A$1001,customers!$C$1:$C$1001))</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6">
        <f>INDEX(products!$A$1:$G$49,MATCH(orders!$D879,products!$A$1:$A$49,0),MATCH(orders!L$1,products!$A$1:$G$1,0))</f>
        <v>9.51</v>
      </c>
      <c r="M879" s="6">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cm="1">
        <f t="array" ref="F880">_xlfn.XLOOKUP(C880,customers!A$1:$A$1001,customers!$B$1:$B$1001,0)</f>
        <v>Izaak Primak</v>
      </c>
      <c r="G880" s="2" t="str">
        <f>IF(_xlfn.XLOOKUP(C880,customers!$A$1:$A$1001,customers!$C$1:$C$1001,0)=0,"",_xlfn.XLOOKUP(C880,customers!$A$1:$A$1001,customers!$C$1:$C$1001))</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6">
        <f>INDEX(products!$A$1:$G$49,MATCH(orders!$D880,products!$A$1:$A$49,0),MATCH(orders!L$1,products!$A$1:$G$1,0))</f>
        <v>27.484999999999996</v>
      </c>
      <c r="M880" s="6">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cm="1">
        <f t="array" ref="F881">_xlfn.XLOOKUP(C881,customers!A$1:$A$1001,customers!$B$1:$B$1001,0)</f>
        <v>Brittani Thoresbie</v>
      </c>
      <c r="G881" s="2" t="str">
        <f>IF(_xlfn.XLOOKUP(C881,customers!$A$1:$A$1001,customers!$C$1:$C$1001,0)=0,"",_xlfn.XLOOKUP(C881,customers!$A$1:$A$1001,customers!$C$1:$C$1001))</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6">
        <f>INDEX(products!$A$1:$G$49,MATCH(orders!$D881,products!$A$1:$A$49,0),MATCH(orders!L$1,products!$A$1:$G$1,0))</f>
        <v>3.645</v>
      </c>
      <c r="M881" s="6">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cm="1">
        <f t="array" ref="F882">_xlfn.XLOOKUP(C882,customers!A$1:$A$1001,customers!$B$1:$B$1001,0)</f>
        <v>Constanta Hatfull</v>
      </c>
      <c r="G882" s="2" t="str">
        <f>IF(_xlfn.XLOOKUP(C882,customers!$A$1:$A$1001,customers!$C$1:$C$1001,0)=0,"",_xlfn.XLOOKUP(C882,customers!$A$1:$A$1001,customers!$C$1:$C$1001))</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6">
        <f>INDEX(products!$A$1:$G$49,MATCH(orders!$D882,products!$A$1:$A$49,0),MATCH(orders!L$1,products!$A$1:$G$1,0))</f>
        <v>3.5849999999999995</v>
      </c>
      <c r="M882" s="6">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cm="1">
        <f t="array" ref="F883">_xlfn.XLOOKUP(C883,customers!A$1:$A$1001,customers!$B$1:$B$1001,0)</f>
        <v>Bobbe Castagneto</v>
      </c>
      <c r="G883" s="2" t="str">
        <f>IF(_xlfn.XLOOKUP(C883,customers!$A$1:$A$1001,customers!$C$1:$C$1001,0)=0,"",_xlfn.XLOOKUP(C883,customers!$A$1:$A$1001,customers!$C$1:$C$1001))</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6">
        <f>INDEX(products!$A$1:$G$49,MATCH(orders!$D883,products!$A$1:$A$49,0),MATCH(orders!L$1,products!$A$1:$G$1,0))</f>
        <v>3.8849999999999998</v>
      </c>
      <c r="M883" s="6">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cm="1">
        <f t="array" ref="F884">_xlfn.XLOOKUP(C884,customers!A$1:$A$1001,customers!$B$1:$B$1001,0)</f>
        <v>Kippie Marrison</v>
      </c>
      <c r="G884" s="2" t="str">
        <f>IF(_xlfn.XLOOKUP(C884,customers!$A$1:$A$1001,customers!$C$1:$C$1001,0)=0,"",_xlfn.XLOOKUP(C884,customers!$A$1:$A$1001,customers!$C$1:$C$1001))</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6">
        <f>INDEX(products!$A$1:$G$49,MATCH(orders!$D884,products!$A$1:$A$49,0),MATCH(orders!L$1,products!$A$1:$G$1,0))</f>
        <v>22.884999999999998</v>
      </c>
      <c r="M884" s="6">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cm="1">
        <f t="array" ref="F885">_xlfn.XLOOKUP(C885,customers!A$1:$A$1001,customers!$B$1:$B$1001,0)</f>
        <v>Lindon Agnolo</v>
      </c>
      <c r="G885" s="2" t="str">
        <f>IF(_xlfn.XLOOKUP(C885,customers!$A$1:$A$1001,customers!$C$1:$C$1001,0)=0,"",_xlfn.XLOOKUP(C885,customers!$A$1:$A$1001,customers!$C$1:$C$1001))</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6">
        <f>INDEX(products!$A$1:$G$49,MATCH(orders!$D885,products!$A$1:$A$49,0),MATCH(orders!L$1,products!$A$1:$G$1,0))</f>
        <v>25.874999999999996</v>
      </c>
      <c r="M885" s="6">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cm="1">
        <f t="array" ref="F886">_xlfn.XLOOKUP(C886,customers!A$1:$A$1001,customers!$B$1:$B$1001,0)</f>
        <v>Delainey Kiddy</v>
      </c>
      <c r="G886" s="2" t="str">
        <f>IF(_xlfn.XLOOKUP(C886,customers!$A$1:$A$1001,customers!$C$1:$C$1001,0)=0,"",_xlfn.XLOOKUP(C886,customers!$A$1:$A$1001,customers!$C$1:$C$1001))</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6">
        <f>INDEX(products!$A$1:$G$49,MATCH(orders!$D886,products!$A$1:$A$49,0),MATCH(orders!L$1,products!$A$1:$G$1,0))</f>
        <v>5.3699999999999992</v>
      </c>
      <c r="M886" s="6">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cm="1">
        <f t="array" ref="F887">_xlfn.XLOOKUP(C887,customers!A$1:$A$1001,customers!$B$1:$B$1001,0)</f>
        <v>Helli Petroulis</v>
      </c>
      <c r="G887" s="2" t="str">
        <f>IF(_xlfn.XLOOKUP(C887,customers!$A$1:$A$1001,customers!$C$1:$C$1001,0)=0,"",_xlfn.XLOOKUP(C887,customers!$A$1:$A$1001,customers!$C$1:$C$1001))</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6">
        <f>INDEX(products!$A$1:$G$49,MATCH(orders!$D887,products!$A$1:$A$49,0),MATCH(orders!L$1,products!$A$1:$G$1,0))</f>
        <v>20.584999999999997</v>
      </c>
      <c r="M887" s="6">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cm="1">
        <f t="array" ref="F888">_xlfn.XLOOKUP(C888,customers!A$1:$A$1001,customers!$B$1:$B$1001,0)</f>
        <v>Marty Scholl</v>
      </c>
      <c r="G888" s="2" t="str">
        <f>IF(_xlfn.XLOOKUP(C888,customers!$A$1:$A$1001,customers!$C$1:$C$1001,0)=0,"",_xlfn.XLOOKUP(C888,customers!$A$1:$A$1001,customers!$C$1:$C$1001))</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6">
        <f>INDEX(products!$A$1:$G$49,MATCH(orders!$D888,products!$A$1:$A$49,0),MATCH(orders!L$1,products!$A$1:$G$1,0))</f>
        <v>8.73</v>
      </c>
      <c r="M888" s="6">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cm="1">
        <f t="array" ref="F889">_xlfn.XLOOKUP(C889,customers!A$1:$A$1001,customers!$B$1:$B$1001,0)</f>
        <v>Kienan Ferson</v>
      </c>
      <c r="G889" s="2" t="str">
        <f>IF(_xlfn.XLOOKUP(C889,customers!$A$1:$A$1001,customers!$C$1:$C$1001,0)=0,"",_xlfn.XLOOKUP(C889,customers!$A$1:$A$1001,customers!$C$1:$C$1001))</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6">
        <f>INDEX(products!$A$1:$G$49,MATCH(orders!$D889,products!$A$1:$A$49,0),MATCH(orders!L$1,products!$A$1:$G$1,0))</f>
        <v>4.4550000000000001</v>
      </c>
      <c r="M889" s="6">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cm="1">
        <f t="array" ref="F890">_xlfn.XLOOKUP(C890,customers!A$1:$A$1001,customers!$B$1:$B$1001,0)</f>
        <v>Blake Kelloway</v>
      </c>
      <c r="G890" s="2" t="str">
        <f>IF(_xlfn.XLOOKUP(C890,customers!$A$1:$A$1001,customers!$C$1:$C$1001,0)=0,"",_xlfn.XLOOKUP(C890,customers!$A$1:$A$1001,customers!$C$1:$C$1001))</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6">
        <f>INDEX(products!$A$1:$G$49,MATCH(orders!$D890,products!$A$1:$A$49,0),MATCH(orders!L$1,products!$A$1:$G$1,0))</f>
        <v>3.8849999999999998</v>
      </c>
      <c r="M890" s="6">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cm="1">
        <f t="array" ref="F891">_xlfn.XLOOKUP(C891,customers!A$1:$A$1001,customers!$B$1:$B$1001,0)</f>
        <v>Scarlett Oliffe</v>
      </c>
      <c r="G891" s="2" t="str">
        <f>IF(_xlfn.XLOOKUP(C891,customers!$A$1:$A$1001,customers!$C$1:$C$1001,0)=0,"",_xlfn.XLOOKUP(C891,customers!$A$1:$A$1001,customers!$C$1:$C$1001))</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6">
        <f>INDEX(products!$A$1:$G$49,MATCH(orders!$D891,products!$A$1:$A$49,0),MATCH(orders!L$1,products!$A$1:$G$1,0))</f>
        <v>2.6849999999999996</v>
      </c>
      <c r="M891" s="6">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cm="1">
        <f t="array" ref="F892">_xlfn.XLOOKUP(C892,customers!A$1:$A$1001,customers!$B$1:$B$1001,0)</f>
        <v>Kippie Marrison</v>
      </c>
      <c r="G892" s="2" t="str">
        <f>IF(_xlfn.XLOOKUP(C892,customers!$A$1:$A$1001,customers!$C$1:$C$1001,0)=0,"",_xlfn.XLOOKUP(C892,customers!$A$1:$A$1001,customers!$C$1:$C$1001))</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6">
        <f>INDEX(products!$A$1:$G$49,MATCH(orders!$D892,products!$A$1:$A$49,0),MATCH(orders!L$1,products!$A$1:$G$1,0))</f>
        <v>20.584999999999997</v>
      </c>
      <c r="M892" s="6">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cm="1">
        <f t="array" ref="F893">_xlfn.XLOOKUP(C893,customers!A$1:$A$1001,customers!$B$1:$B$1001,0)</f>
        <v>Celestia Dolohunty</v>
      </c>
      <c r="G893" s="2" t="str">
        <f>IF(_xlfn.XLOOKUP(C893,customers!$A$1:$A$1001,customers!$C$1:$C$1001,0)=0,"",_xlfn.XLOOKUP(C893,customers!$A$1:$A$1001,customers!$C$1:$C$1001))</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6">
        <f>INDEX(products!$A$1:$G$49,MATCH(orders!$D893,products!$A$1:$A$49,0),MATCH(orders!L$1,products!$A$1:$G$1,0))</f>
        <v>22.884999999999998</v>
      </c>
      <c r="M893" s="6">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cm="1">
        <f t="array" ref="F894">_xlfn.XLOOKUP(C894,customers!A$1:$A$1001,customers!$B$1:$B$1001,0)</f>
        <v>Patsy Vasilenko</v>
      </c>
      <c r="G894" s="2" t="str">
        <f>IF(_xlfn.XLOOKUP(C894,customers!$A$1:$A$1001,customers!$C$1:$C$1001,0)=0,"",_xlfn.XLOOKUP(C894,customers!$A$1:$A$1001,customers!$C$1:$C$1001))</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6">
        <f>INDEX(products!$A$1:$G$49,MATCH(orders!$D894,products!$A$1:$A$49,0),MATCH(orders!L$1,products!$A$1:$G$1,0))</f>
        <v>4.125</v>
      </c>
      <c r="M894" s="6">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cm="1">
        <f t="array" ref="F895">_xlfn.XLOOKUP(C895,customers!A$1:$A$1001,customers!$B$1:$B$1001,0)</f>
        <v>Raphaela Schankelborg</v>
      </c>
      <c r="G895" s="2" t="str">
        <f>IF(_xlfn.XLOOKUP(C895,customers!$A$1:$A$1001,customers!$C$1:$C$1001,0)=0,"",_xlfn.XLOOKUP(C895,customers!$A$1:$A$1001,customers!$C$1:$C$1001))</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6">
        <f>INDEX(products!$A$1:$G$49,MATCH(orders!$D895,products!$A$1:$A$49,0),MATCH(orders!L$1,products!$A$1:$G$1,0))</f>
        <v>9.51</v>
      </c>
      <c r="M895" s="6">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cm="1">
        <f t="array" ref="F896">_xlfn.XLOOKUP(C896,customers!A$1:$A$1001,customers!$B$1:$B$1001,0)</f>
        <v>Sharity Wickens</v>
      </c>
      <c r="G896" s="2" t="str">
        <f>IF(_xlfn.XLOOKUP(C896,customers!$A$1:$A$1001,customers!$C$1:$C$1001,0)=0,"",_xlfn.XLOOKUP(C896,customers!$A$1:$A$1001,customers!$C$1:$C$1001))</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6">
        <f>INDEX(products!$A$1:$G$49,MATCH(orders!$D896,products!$A$1:$A$49,0),MATCH(orders!L$1,products!$A$1:$G$1,0))</f>
        <v>20.584999999999997</v>
      </c>
      <c r="M896" s="6">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cm="1">
        <f t="array" ref="F897">_xlfn.XLOOKUP(C897,customers!A$1:$A$1001,customers!$B$1:$B$1001,0)</f>
        <v>Derick Snow</v>
      </c>
      <c r="G897" s="2" t="str">
        <f>IF(_xlfn.XLOOKUP(C897,customers!$A$1:$A$1001,customers!$C$1:$C$1001,0)=0,"",_xlfn.XLOOKUP(C897,customers!$A$1:$A$1001,customers!$C$1:$C$1001))</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6">
        <f>INDEX(products!$A$1:$G$49,MATCH(orders!$D897,products!$A$1:$A$49,0),MATCH(orders!L$1,products!$A$1:$G$1,0))</f>
        <v>31.624999999999996</v>
      </c>
      <c r="M897" s="6">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cm="1">
        <f t="array" ref="F898">_xlfn.XLOOKUP(C898,customers!A$1:$A$1001,customers!$B$1:$B$1001,0)</f>
        <v>Baxy Cargen</v>
      </c>
      <c r="G898" s="2" t="str">
        <f>IF(_xlfn.XLOOKUP(C898,customers!$A$1:$A$1001,customers!$C$1:$C$1001,0)=0,"",_xlfn.XLOOKUP(C898,customers!$A$1:$A$1001,customers!$C$1:$C$1001))</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6">
        <f>INDEX(products!$A$1:$G$49,MATCH(orders!$D898,products!$A$1:$A$49,0),MATCH(orders!L$1,products!$A$1:$G$1,0))</f>
        <v>5.3699999999999992</v>
      </c>
      <c r="M898" s="6">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cm="1">
        <f t="array" ref="F899">_xlfn.XLOOKUP(C899,customers!A$1:$A$1001,customers!$B$1:$B$1001,0)</f>
        <v>Ryann Stickler</v>
      </c>
      <c r="G899" s="2" t="str">
        <f>IF(_xlfn.XLOOKUP(C899,customers!$A$1:$A$1001,customers!$C$1:$C$1001,0)=0,"",_xlfn.XLOOKUP(C899,customers!$A$1:$A$1001,customers!$C$1:$C$1001))</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6">
        <f>INDEX(products!$A$1:$G$49,MATCH(orders!$D899,products!$A$1:$A$49,0),MATCH(orders!L$1,products!$A$1:$G$1,0))</f>
        <v>12.15</v>
      </c>
      <c r="M899" s="6">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cm="1">
        <f t="array" ref="F900">_xlfn.XLOOKUP(C900,customers!A$1:$A$1001,customers!$B$1:$B$1001,0)</f>
        <v>Daryn Cassius</v>
      </c>
      <c r="G900" s="2" t="str">
        <f>IF(_xlfn.XLOOKUP(C900,customers!$A$1:$A$1001,customers!$C$1:$C$1001,0)=0,"",_xlfn.XLOOKUP(C900,customers!$A$1:$A$1001,customers!$C$1:$C$1001))</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6">
        <f>INDEX(products!$A$1:$G$49,MATCH(orders!$D900,products!$A$1:$A$49,0),MATCH(orders!L$1,products!$A$1:$G$1,0))</f>
        <v>7.169999999999999</v>
      </c>
      <c r="M900" s="6">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cm="1">
        <f t="array" ref="F901">_xlfn.XLOOKUP(C901,customers!A$1:$A$1001,customers!$B$1:$B$1001,0)</f>
        <v>Derick Snow</v>
      </c>
      <c r="G901" s="2" t="str">
        <f>IF(_xlfn.XLOOKUP(C901,customers!$A$1:$A$1001,customers!$C$1:$C$1001,0)=0,"",_xlfn.XLOOKUP(C901,customers!$A$1:$A$1001,customers!$C$1:$C$1001))</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6">
        <f>INDEX(products!$A$1:$G$49,MATCH(orders!$D901,products!$A$1:$A$49,0),MATCH(orders!L$1,products!$A$1:$G$1,0))</f>
        <v>14.55</v>
      </c>
      <c r="M901" s="6">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cm="1">
        <f t="array" ref="F902">_xlfn.XLOOKUP(C902,customers!A$1:$A$1001,customers!$B$1:$B$1001,0)</f>
        <v>Skelly Dolohunty</v>
      </c>
      <c r="G902" s="2" t="str">
        <f>IF(_xlfn.XLOOKUP(C902,customers!$A$1:$A$1001,customers!$C$1:$C$1001,0)=0,"",_xlfn.XLOOKUP(C902,customers!$A$1:$A$1001,customers!$C$1:$C$1001))</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6">
        <f>INDEX(products!$A$1:$G$49,MATCH(orders!$D902,products!$A$1:$A$49,0),MATCH(orders!L$1,products!$A$1:$G$1,0))</f>
        <v>15.85</v>
      </c>
      <c r="M902" s="6">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cm="1">
        <f t="array" ref="F903">_xlfn.XLOOKUP(C903,customers!A$1:$A$1001,customers!$B$1:$B$1001,0)</f>
        <v>Drake Jevon</v>
      </c>
      <c r="G903" s="2" t="str">
        <f>IF(_xlfn.XLOOKUP(C903,customers!$A$1:$A$1001,customers!$C$1:$C$1001,0)=0,"",_xlfn.XLOOKUP(C903,customers!$A$1:$A$1001,customers!$C$1:$C$1001))</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6">
        <f>INDEX(products!$A$1:$G$49,MATCH(orders!$D903,products!$A$1:$A$49,0),MATCH(orders!L$1,products!$A$1:$G$1,0))</f>
        <v>3.5849999999999995</v>
      </c>
      <c r="M903" s="6">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cm="1">
        <f t="array" ref="F904">_xlfn.XLOOKUP(C904,customers!A$1:$A$1001,customers!$B$1:$B$1001,0)</f>
        <v>Hall Ranner</v>
      </c>
      <c r="G904" s="2" t="str">
        <f>IF(_xlfn.XLOOKUP(C904,customers!$A$1:$A$1001,customers!$C$1:$C$1001,0)=0,"",_xlfn.XLOOKUP(C904,customers!$A$1:$A$1001,customers!$C$1:$C$1001))</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6">
        <f>INDEX(products!$A$1:$G$49,MATCH(orders!$D904,products!$A$1:$A$49,0),MATCH(orders!L$1,products!$A$1:$G$1,0))</f>
        <v>31.624999999999996</v>
      </c>
      <c r="M904" s="6">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cm="1">
        <f t="array" ref="F905">_xlfn.XLOOKUP(C905,customers!A$1:$A$1001,customers!$B$1:$B$1001,0)</f>
        <v>Berkly Imrie</v>
      </c>
      <c r="G905" s="2" t="str">
        <f>IF(_xlfn.XLOOKUP(C905,customers!$A$1:$A$1001,customers!$C$1:$C$1001,0)=0,"",_xlfn.XLOOKUP(C905,customers!$A$1:$A$1001,customers!$C$1:$C$1001))</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6">
        <f>INDEX(products!$A$1:$G$49,MATCH(orders!$D905,products!$A$1:$A$49,0),MATCH(orders!L$1,products!$A$1:$G$1,0))</f>
        <v>8.73</v>
      </c>
      <c r="M905" s="6">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cm="1">
        <f t="array" ref="F906">_xlfn.XLOOKUP(C906,customers!A$1:$A$1001,customers!$B$1:$B$1001,0)</f>
        <v>Dorey Sopper</v>
      </c>
      <c r="G906" s="2" t="str">
        <f>IF(_xlfn.XLOOKUP(C906,customers!$A$1:$A$1001,customers!$C$1:$C$1001,0)=0,"",_xlfn.XLOOKUP(C906,customers!$A$1:$A$1001,customers!$C$1:$C$1001))</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6">
        <f>INDEX(products!$A$1:$G$49,MATCH(orders!$D906,products!$A$1:$A$49,0),MATCH(orders!L$1,products!$A$1:$G$1,0))</f>
        <v>29.784999999999997</v>
      </c>
      <c r="M906" s="6">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cm="1">
        <f t="array" ref="F907">_xlfn.XLOOKUP(C907,customers!A$1:$A$1001,customers!$B$1:$B$1001,0)</f>
        <v>Darcy Lochran</v>
      </c>
      <c r="G907" s="2" t="str">
        <f>IF(_xlfn.XLOOKUP(C907,customers!$A$1:$A$1001,customers!$C$1:$C$1001,0)=0,"",_xlfn.XLOOKUP(C907,customers!$A$1:$A$1001,customers!$C$1:$C$1001))</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6">
        <f>INDEX(products!$A$1:$G$49,MATCH(orders!$D907,products!$A$1:$A$49,0),MATCH(orders!L$1,products!$A$1:$G$1,0))</f>
        <v>6.75</v>
      </c>
      <c r="M907" s="6">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cm="1">
        <f t="array" ref="F908">_xlfn.XLOOKUP(C908,customers!A$1:$A$1001,customers!$B$1:$B$1001,0)</f>
        <v>Lauritz Ledgley</v>
      </c>
      <c r="G908" s="2" t="str">
        <f>IF(_xlfn.XLOOKUP(C908,customers!$A$1:$A$1001,customers!$C$1:$C$1001,0)=0,"",_xlfn.XLOOKUP(C908,customers!$A$1:$A$1001,customers!$C$1:$C$1001))</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6">
        <f>INDEX(products!$A$1:$G$49,MATCH(orders!$D908,products!$A$1:$A$49,0),MATCH(orders!L$1,products!$A$1:$G$1,0))</f>
        <v>6.75</v>
      </c>
      <c r="M908" s="6">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cm="1">
        <f t="array" ref="F909">_xlfn.XLOOKUP(C909,customers!A$1:$A$1001,customers!$B$1:$B$1001,0)</f>
        <v>Tawnya Menary</v>
      </c>
      <c r="G909" s="2" t="str">
        <f>IF(_xlfn.XLOOKUP(C909,customers!$A$1:$A$1001,customers!$C$1:$C$1001,0)=0,"",_xlfn.XLOOKUP(C909,customers!$A$1:$A$1001,customers!$C$1:$C$1001))</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6">
        <f>INDEX(products!$A$1:$G$49,MATCH(orders!$D909,products!$A$1:$A$49,0),MATCH(orders!L$1,products!$A$1:$G$1,0))</f>
        <v>12.95</v>
      </c>
      <c r="M909" s="6">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cm="1">
        <f t="array" ref="F910">_xlfn.XLOOKUP(C910,customers!A$1:$A$1001,customers!$B$1:$B$1001,0)</f>
        <v>Gustaf Ciccotti</v>
      </c>
      <c r="G910" s="2" t="str">
        <f>IF(_xlfn.XLOOKUP(C910,customers!$A$1:$A$1001,customers!$C$1:$C$1001,0)=0,"",_xlfn.XLOOKUP(C910,customers!$A$1:$A$1001,customers!$C$1:$C$1001))</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6">
        <f>INDEX(products!$A$1:$G$49,MATCH(orders!$D910,products!$A$1:$A$49,0),MATCH(orders!L$1,products!$A$1:$G$1,0))</f>
        <v>11.95</v>
      </c>
      <c r="M910" s="6">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cm="1">
        <f t="array" ref="F911">_xlfn.XLOOKUP(C911,customers!A$1:$A$1001,customers!$B$1:$B$1001,0)</f>
        <v>Bobbe Renner</v>
      </c>
      <c r="G911" s="2" t="str">
        <f>IF(_xlfn.XLOOKUP(C911,customers!$A$1:$A$1001,customers!$C$1:$C$1001,0)=0,"",_xlfn.XLOOKUP(C911,customers!$A$1:$A$1001,customers!$C$1:$C$1001))</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6">
        <f>INDEX(products!$A$1:$G$49,MATCH(orders!$D911,products!$A$1:$A$49,0),MATCH(orders!L$1,products!$A$1:$G$1,0))</f>
        <v>3.5849999999999995</v>
      </c>
      <c r="M911" s="6">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cm="1">
        <f t="array" ref="F912">_xlfn.XLOOKUP(C912,customers!A$1:$A$1001,customers!$B$1:$B$1001,0)</f>
        <v>Wilton Jallin</v>
      </c>
      <c r="G912" s="2" t="str">
        <f>IF(_xlfn.XLOOKUP(C912,customers!$A$1:$A$1001,customers!$C$1:$C$1001,0)=0,"",_xlfn.XLOOKUP(C912,customers!$A$1:$A$1001,customers!$C$1:$C$1001))</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6">
        <f>INDEX(products!$A$1:$G$49,MATCH(orders!$D912,products!$A$1:$A$49,0),MATCH(orders!L$1,products!$A$1:$G$1,0))</f>
        <v>22.884999999999998</v>
      </c>
      <c r="M912" s="6">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cm="1">
        <f t="array" ref="F913">_xlfn.XLOOKUP(C913,customers!A$1:$A$1001,customers!$B$1:$B$1001,0)</f>
        <v>Mindy Bogey</v>
      </c>
      <c r="G913" s="2" t="str">
        <f>IF(_xlfn.XLOOKUP(C913,customers!$A$1:$A$1001,customers!$C$1:$C$1001,0)=0,"",_xlfn.XLOOKUP(C913,customers!$A$1:$A$1001,customers!$C$1:$C$1001))</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6">
        <f>INDEX(products!$A$1:$G$49,MATCH(orders!$D913,products!$A$1:$A$49,0),MATCH(orders!L$1,products!$A$1:$G$1,0))</f>
        <v>11.25</v>
      </c>
      <c r="M913" s="6">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cm="1">
        <f t="array" ref="F914">_xlfn.XLOOKUP(C914,customers!A$1:$A$1001,customers!$B$1:$B$1001,0)</f>
        <v>Paulie Fonzone</v>
      </c>
      <c r="G914" s="2" t="str">
        <f>IF(_xlfn.XLOOKUP(C914,customers!$A$1:$A$1001,customers!$C$1:$C$1001,0)=0,"",_xlfn.XLOOKUP(C914,customers!$A$1:$A$1001,customers!$C$1:$C$1001))</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6">
        <f>INDEX(products!$A$1:$G$49,MATCH(orders!$D914,products!$A$1:$A$49,0),MATCH(orders!L$1,products!$A$1:$G$1,0))</f>
        <v>22.884999999999998</v>
      </c>
      <c r="M914" s="6">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cm="1">
        <f t="array" ref="F915">_xlfn.XLOOKUP(C915,customers!A$1:$A$1001,customers!$B$1:$B$1001,0)</f>
        <v>Merrile Cobbledick</v>
      </c>
      <c r="G915" s="2" t="str">
        <f>IF(_xlfn.XLOOKUP(C915,customers!$A$1:$A$1001,customers!$C$1:$C$1001,0)=0,"",_xlfn.XLOOKUP(C915,customers!$A$1:$A$1001,customers!$C$1:$C$1001))</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6">
        <f>INDEX(products!$A$1:$G$49,MATCH(orders!$D915,products!$A$1:$A$49,0),MATCH(orders!L$1,products!$A$1:$G$1,0))</f>
        <v>6.75</v>
      </c>
      <c r="M915" s="6">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cm="1">
        <f t="array" ref="F916">_xlfn.XLOOKUP(C916,customers!A$1:$A$1001,customers!$B$1:$B$1001,0)</f>
        <v>Antonius Lewry</v>
      </c>
      <c r="G916" s="2" t="str">
        <f>IF(_xlfn.XLOOKUP(C916,customers!$A$1:$A$1001,customers!$C$1:$C$1001,0)=0,"",_xlfn.XLOOKUP(C916,customers!$A$1:$A$1001,customers!$C$1:$C$1001))</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6">
        <f>INDEX(products!$A$1:$G$49,MATCH(orders!$D916,products!$A$1:$A$49,0),MATCH(orders!L$1,products!$A$1:$G$1,0))</f>
        <v>11.25</v>
      </c>
      <c r="M916" s="6">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cm="1">
        <f t="array" ref="F917">_xlfn.XLOOKUP(C917,customers!A$1:$A$1001,customers!$B$1:$B$1001,0)</f>
        <v>Isis Hessel</v>
      </c>
      <c r="G917" s="2" t="str">
        <f>IF(_xlfn.XLOOKUP(C917,customers!$A$1:$A$1001,customers!$C$1:$C$1001,0)=0,"",_xlfn.XLOOKUP(C917,customers!$A$1:$A$1001,customers!$C$1:$C$1001))</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6">
        <f>INDEX(products!$A$1:$G$49,MATCH(orders!$D917,products!$A$1:$A$49,0),MATCH(orders!L$1,products!$A$1:$G$1,0))</f>
        <v>27.945</v>
      </c>
      <c r="M917" s="6">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cm="1">
        <f t="array" ref="F918">_xlfn.XLOOKUP(C918,customers!A$1:$A$1001,customers!$B$1:$B$1001,0)</f>
        <v>Harland Trematick</v>
      </c>
      <c r="G918" s="2" t="str">
        <f>IF(_xlfn.XLOOKUP(C918,customers!$A$1:$A$1001,customers!$C$1:$C$1001,0)=0,"",_xlfn.XLOOKUP(C918,customers!$A$1:$A$1001,customers!$C$1:$C$1001))</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6">
        <f>INDEX(products!$A$1:$G$49,MATCH(orders!$D918,products!$A$1:$A$49,0),MATCH(orders!L$1,products!$A$1:$G$1,0))</f>
        <v>3.645</v>
      </c>
      <c r="M918" s="6">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cm="1">
        <f t="array" ref="F919">_xlfn.XLOOKUP(C919,customers!A$1:$A$1001,customers!$B$1:$B$1001,0)</f>
        <v>Chloris Sorrell</v>
      </c>
      <c r="G919" s="2" t="str">
        <f>IF(_xlfn.XLOOKUP(C919,customers!$A$1:$A$1001,customers!$C$1:$C$1001,0)=0,"",_xlfn.XLOOKUP(C919,customers!$A$1:$A$1001,customers!$C$1:$C$1001))</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6">
        <f>INDEX(products!$A$1:$G$49,MATCH(orders!$D919,products!$A$1:$A$49,0),MATCH(orders!L$1,products!$A$1:$G$1,0))</f>
        <v>6.75</v>
      </c>
      <c r="M919" s="6">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cm="1">
        <f t="array" ref="F920">_xlfn.XLOOKUP(C920,customers!A$1:$A$1001,customers!$B$1:$B$1001,0)</f>
        <v>Chloris Sorrell</v>
      </c>
      <c r="G920" s="2" t="str">
        <f>IF(_xlfn.XLOOKUP(C920,customers!$A$1:$A$1001,customers!$C$1:$C$1001,0)=0,"",_xlfn.XLOOKUP(C920,customers!$A$1:$A$1001,customers!$C$1:$C$1001))</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6">
        <f>INDEX(products!$A$1:$G$49,MATCH(orders!$D920,products!$A$1:$A$49,0),MATCH(orders!L$1,products!$A$1:$G$1,0))</f>
        <v>7.29</v>
      </c>
      <c r="M920" s="6">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cm="1">
        <f t="array" ref="F921">_xlfn.XLOOKUP(C921,customers!A$1:$A$1001,customers!$B$1:$B$1001,0)</f>
        <v>Quintina Heavyside</v>
      </c>
      <c r="G921" s="2" t="str">
        <f>IF(_xlfn.XLOOKUP(C921,customers!$A$1:$A$1001,customers!$C$1:$C$1001,0)=0,"",_xlfn.XLOOKUP(C921,customers!$A$1:$A$1001,customers!$C$1:$C$1001))</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6">
        <f>INDEX(products!$A$1:$G$49,MATCH(orders!$D921,products!$A$1:$A$49,0),MATCH(orders!L$1,products!$A$1:$G$1,0))</f>
        <v>2.6849999999999996</v>
      </c>
      <c r="M921" s="6">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cm="1">
        <f t="array" ref="F922">_xlfn.XLOOKUP(C922,customers!A$1:$A$1001,customers!$B$1:$B$1001,0)</f>
        <v>Hadley Reuven</v>
      </c>
      <c r="G922" s="2" t="str">
        <f>IF(_xlfn.XLOOKUP(C922,customers!$A$1:$A$1001,customers!$C$1:$C$1001,0)=0,"",_xlfn.XLOOKUP(C922,customers!$A$1:$A$1001,customers!$C$1:$C$1001))</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6">
        <f>INDEX(products!$A$1:$G$49,MATCH(orders!$D922,products!$A$1:$A$49,0),MATCH(orders!L$1,products!$A$1:$G$1,0))</f>
        <v>20.584999999999997</v>
      </c>
      <c r="M922" s="6">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cm="1">
        <f t="array" ref="F923">_xlfn.XLOOKUP(C923,customers!A$1:$A$1001,customers!$B$1:$B$1001,0)</f>
        <v>Mitch Attwool</v>
      </c>
      <c r="G923" s="2" t="str">
        <f>IF(_xlfn.XLOOKUP(C923,customers!$A$1:$A$1001,customers!$C$1:$C$1001,0)=0,"",_xlfn.XLOOKUP(C923,customers!$A$1:$A$1001,customers!$C$1:$C$1001))</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6">
        <f>INDEX(products!$A$1:$G$49,MATCH(orders!$D923,products!$A$1:$A$49,0),MATCH(orders!L$1,products!$A$1:$G$1,0))</f>
        <v>3.8849999999999998</v>
      </c>
      <c r="M923" s="6">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cm="1">
        <f t="array" ref="F924">_xlfn.XLOOKUP(C924,customers!A$1:$A$1001,customers!$B$1:$B$1001,0)</f>
        <v>Charin Maplethorp</v>
      </c>
      <c r="G924" s="2" t="str">
        <f>IF(_xlfn.XLOOKUP(C924,customers!$A$1:$A$1001,customers!$C$1:$C$1001,0)=0,"",_xlfn.XLOOKUP(C924,customers!$A$1:$A$1001,customers!$C$1:$C$1001))</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6">
        <f>INDEX(products!$A$1:$G$49,MATCH(orders!$D924,products!$A$1:$A$49,0),MATCH(orders!L$1,products!$A$1:$G$1,0))</f>
        <v>11.25</v>
      </c>
      <c r="M924" s="6">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cm="1">
        <f t="array" ref="F925">_xlfn.XLOOKUP(C925,customers!A$1:$A$1001,customers!$B$1:$B$1001,0)</f>
        <v>Goldie Wynes</v>
      </c>
      <c r="G925" s="2" t="str">
        <f>IF(_xlfn.XLOOKUP(C925,customers!$A$1:$A$1001,customers!$C$1:$C$1001,0)=0,"",_xlfn.XLOOKUP(C925,customers!$A$1:$A$1001,customers!$C$1:$C$1001))</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6">
        <f>INDEX(products!$A$1:$G$49,MATCH(orders!$D925,products!$A$1:$A$49,0),MATCH(orders!L$1,products!$A$1:$G$1,0))</f>
        <v>27.945</v>
      </c>
      <c r="M925" s="6">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cm="1">
        <f t="array" ref="F926">_xlfn.XLOOKUP(C926,customers!A$1:$A$1001,customers!$B$1:$B$1001,0)</f>
        <v>Celie MacCourt</v>
      </c>
      <c r="G926" s="2" t="str">
        <f>IF(_xlfn.XLOOKUP(C926,customers!$A$1:$A$1001,customers!$C$1:$C$1001,0)=0,"",_xlfn.XLOOKUP(C926,customers!$A$1:$A$1001,customers!$C$1:$C$1001))</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6">
        <f>INDEX(products!$A$1:$G$49,MATCH(orders!$D926,products!$A$1:$A$49,0),MATCH(orders!L$1,products!$A$1:$G$1,0))</f>
        <v>29.784999999999997</v>
      </c>
      <c r="M926" s="6">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cm="1">
        <f t="array" ref="F927">_xlfn.XLOOKUP(C927,customers!A$1:$A$1001,customers!$B$1:$B$1001,0)</f>
        <v>Derick Snow</v>
      </c>
      <c r="G927" s="2" t="str">
        <f>IF(_xlfn.XLOOKUP(C927,customers!$A$1:$A$1001,customers!$C$1:$C$1001,0)=0,"",_xlfn.XLOOKUP(C927,customers!$A$1:$A$1001,customers!$C$1:$C$1001))</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6">
        <f>INDEX(products!$A$1:$G$49,MATCH(orders!$D927,products!$A$1:$A$49,0),MATCH(orders!L$1,products!$A$1:$G$1,0))</f>
        <v>6.75</v>
      </c>
      <c r="M927" s="6">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cm="1">
        <f t="array" ref="F928">_xlfn.XLOOKUP(C928,customers!A$1:$A$1001,customers!$B$1:$B$1001,0)</f>
        <v>Evy Wilsone</v>
      </c>
      <c r="G928" s="2" t="str">
        <f>IF(_xlfn.XLOOKUP(C928,customers!$A$1:$A$1001,customers!$C$1:$C$1001,0)=0,"",_xlfn.XLOOKUP(C928,customers!$A$1:$A$1001,customers!$C$1:$C$1001))</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6">
        <f>INDEX(products!$A$1:$G$49,MATCH(orders!$D928,products!$A$1:$A$49,0),MATCH(orders!L$1,products!$A$1:$G$1,0))</f>
        <v>6.75</v>
      </c>
      <c r="M928" s="6">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cm="1">
        <f t="array" ref="F929">_xlfn.XLOOKUP(C929,customers!A$1:$A$1001,customers!$B$1:$B$1001,0)</f>
        <v>Dolores Duffie</v>
      </c>
      <c r="G929" s="2" t="str">
        <f>IF(_xlfn.XLOOKUP(C929,customers!$A$1:$A$1001,customers!$C$1:$C$1001,0)=0,"",_xlfn.XLOOKUP(C929,customers!$A$1:$A$1001,customers!$C$1:$C$1001))</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6">
        <f>INDEX(products!$A$1:$G$49,MATCH(orders!$D929,products!$A$1:$A$49,0),MATCH(orders!L$1,products!$A$1:$G$1,0))</f>
        <v>27.945</v>
      </c>
      <c r="M929" s="6">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cm="1">
        <f t="array" ref="F930">_xlfn.XLOOKUP(C930,customers!A$1:$A$1001,customers!$B$1:$B$1001,0)</f>
        <v>Mathilda Matiasek</v>
      </c>
      <c r="G930" s="2" t="str">
        <f>IF(_xlfn.XLOOKUP(C930,customers!$A$1:$A$1001,customers!$C$1:$C$1001,0)=0,"",_xlfn.XLOOKUP(C930,customers!$A$1:$A$1001,customers!$C$1:$C$1001))</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6">
        <f>INDEX(products!$A$1:$G$49,MATCH(orders!$D930,products!$A$1:$A$49,0),MATCH(orders!L$1,products!$A$1:$G$1,0))</f>
        <v>31.624999999999996</v>
      </c>
      <c r="M930" s="6">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cm="1">
        <f t="array" ref="F931">_xlfn.XLOOKUP(C931,customers!A$1:$A$1001,customers!$B$1:$B$1001,0)</f>
        <v>Jarred Camillo</v>
      </c>
      <c r="G931" s="2" t="str">
        <f>IF(_xlfn.XLOOKUP(C931,customers!$A$1:$A$1001,customers!$C$1:$C$1001,0)=0,"",_xlfn.XLOOKUP(C931,customers!$A$1:$A$1001,customers!$C$1:$C$1001))</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6">
        <f>INDEX(products!$A$1:$G$49,MATCH(orders!$D931,products!$A$1:$A$49,0),MATCH(orders!L$1,products!$A$1:$G$1,0))</f>
        <v>4.4550000000000001</v>
      </c>
      <c r="M931" s="6">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cm="1">
        <f t="array" ref="F932">_xlfn.XLOOKUP(C932,customers!A$1:$A$1001,customers!$B$1:$B$1001,0)</f>
        <v>Kameko Philbrick</v>
      </c>
      <c r="G932" s="2" t="str">
        <f>IF(_xlfn.XLOOKUP(C932,customers!$A$1:$A$1001,customers!$C$1:$C$1001,0)=0,"",_xlfn.XLOOKUP(C932,customers!$A$1:$A$1001,customers!$C$1:$C$1001))</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6">
        <f>INDEX(products!$A$1:$G$49,MATCH(orders!$D932,products!$A$1:$A$49,0),MATCH(orders!L$1,products!$A$1:$G$1,0))</f>
        <v>12.15</v>
      </c>
      <c r="M932" s="6">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cm="1">
        <f t="array" ref="F933">_xlfn.XLOOKUP(C933,customers!A$1:$A$1001,customers!$B$1:$B$1001,0)</f>
        <v>Mallory Shrimpling</v>
      </c>
      <c r="G933" s="2" t="str">
        <f>IF(_xlfn.XLOOKUP(C933,customers!$A$1:$A$1001,customers!$C$1:$C$1001,0)=0,"",_xlfn.XLOOKUP(C933,customers!$A$1:$A$1001,customers!$C$1:$C$1001))</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6">
        <f>INDEX(products!$A$1:$G$49,MATCH(orders!$D933,products!$A$1:$A$49,0),MATCH(orders!L$1,products!$A$1:$G$1,0))</f>
        <v>5.97</v>
      </c>
      <c r="M933" s="6">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cm="1">
        <f t="array" ref="F934">_xlfn.XLOOKUP(C934,customers!A$1:$A$1001,customers!$B$1:$B$1001,0)</f>
        <v>Barnett Sillis</v>
      </c>
      <c r="G934" s="2" t="str">
        <f>IF(_xlfn.XLOOKUP(C934,customers!$A$1:$A$1001,customers!$C$1:$C$1001,0)=0,"",_xlfn.XLOOKUP(C934,customers!$A$1:$A$1001,customers!$C$1:$C$1001))</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6">
        <f>INDEX(products!$A$1:$G$49,MATCH(orders!$D934,products!$A$1:$A$49,0),MATCH(orders!L$1,products!$A$1:$G$1,0))</f>
        <v>13.75</v>
      </c>
      <c r="M934" s="6">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cm="1">
        <f t="array" ref="F935">_xlfn.XLOOKUP(C935,customers!A$1:$A$1001,customers!$B$1:$B$1001,0)</f>
        <v>Brenn Dundredge</v>
      </c>
      <c r="G935" s="2" t="str">
        <f>IF(_xlfn.XLOOKUP(C935,customers!$A$1:$A$1001,customers!$C$1:$C$1001,0)=0,"",_xlfn.XLOOKUP(C935,customers!$A$1:$A$1001,customers!$C$1:$C$1001))</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6">
        <f>INDEX(products!$A$1:$G$49,MATCH(orders!$D935,products!$A$1:$A$49,0),MATCH(orders!L$1,products!$A$1:$G$1,0))</f>
        <v>8.9499999999999993</v>
      </c>
      <c r="M935" s="6">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cm="1">
        <f t="array" ref="F936">_xlfn.XLOOKUP(C936,customers!A$1:$A$1001,customers!$B$1:$B$1001,0)</f>
        <v>Read Cutts</v>
      </c>
      <c r="G936" s="2" t="str">
        <f>IF(_xlfn.XLOOKUP(C936,customers!$A$1:$A$1001,customers!$C$1:$C$1001,0)=0,"",_xlfn.XLOOKUP(C936,customers!$A$1:$A$1001,customers!$C$1:$C$1001))</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6">
        <f>INDEX(products!$A$1:$G$49,MATCH(orders!$D936,products!$A$1:$A$49,0),MATCH(orders!L$1,products!$A$1:$G$1,0))</f>
        <v>22.884999999999998</v>
      </c>
      <c r="M936" s="6">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cm="1">
        <f t="array" ref="F937">_xlfn.XLOOKUP(C937,customers!A$1:$A$1001,customers!$B$1:$B$1001,0)</f>
        <v>Michale Delves</v>
      </c>
      <c r="G937" s="2" t="str">
        <f>IF(_xlfn.XLOOKUP(C937,customers!$A$1:$A$1001,customers!$C$1:$C$1001,0)=0,"",_xlfn.XLOOKUP(C937,customers!$A$1:$A$1001,customers!$C$1:$C$1001))</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6">
        <f>INDEX(products!$A$1:$G$49,MATCH(orders!$D937,products!$A$1:$A$49,0),MATCH(orders!L$1,products!$A$1:$G$1,0))</f>
        <v>25.874999999999996</v>
      </c>
      <c r="M937" s="6">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cm="1">
        <f t="array" ref="F938">_xlfn.XLOOKUP(C938,customers!A$1:$A$1001,customers!$B$1:$B$1001,0)</f>
        <v>Devland Gritton</v>
      </c>
      <c r="G938" s="2" t="str">
        <f>IF(_xlfn.XLOOKUP(C938,customers!$A$1:$A$1001,customers!$C$1:$C$1001,0)=0,"",_xlfn.XLOOKUP(C938,customers!$A$1:$A$1001,customers!$C$1:$C$1001))</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6">
        <f>INDEX(products!$A$1:$G$49,MATCH(orders!$D938,products!$A$1:$A$49,0),MATCH(orders!L$1,products!$A$1:$G$1,0))</f>
        <v>7.77</v>
      </c>
      <c r="M938" s="6">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cm="1">
        <f t="array" ref="F939">_xlfn.XLOOKUP(C939,customers!A$1:$A$1001,customers!$B$1:$B$1001,0)</f>
        <v>Devland Gritton</v>
      </c>
      <c r="G939" s="2" t="str">
        <f>IF(_xlfn.XLOOKUP(C939,customers!$A$1:$A$1001,customers!$C$1:$C$1001,0)=0,"",_xlfn.XLOOKUP(C939,customers!$A$1:$A$1001,customers!$C$1:$C$1001))</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6">
        <f>INDEX(products!$A$1:$G$49,MATCH(orders!$D939,products!$A$1:$A$49,0),MATCH(orders!L$1,products!$A$1:$G$1,0))</f>
        <v>22.884999999999998</v>
      </c>
      <c r="M939" s="6">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cm="1">
        <f t="array" ref="F940">_xlfn.XLOOKUP(C940,customers!A$1:$A$1001,customers!$B$1:$B$1001,0)</f>
        <v>Dell Gut</v>
      </c>
      <c r="G940" s="2" t="str">
        <f>IF(_xlfn.XLOOKUP(C940,customers!$A$1:$A$1001,customers!$C$1:$C$1001,0)=0,"",_xlfn.XLOOKUP(C940,customers!$A$1:$A$1001,customers!$C$1:$C$1001))</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6">
        <f>INDEX(products!$A$1:$G$49,MATCH(orders!$D940,products!$A$1:$A$49,0),MATCH(orders!L$1,products!$A$1:$G$1,0))</f>
        <v>14.85</v>
      </c>
      <c r="M940" s="6">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cm="1">
        <f t="array" ref="F941">_xlfn.XLOOKUP(C941,customers!A$1:$A$1001,customers!$B$1:$B$1001,0)</f>
        <v>Willy Pummery</v>
      </c>
      <c r="G941" s="2" t="str">
        <f>IF(_xlfn.XLOOKUP(C941,customers!$A$1:$A$1001,customers!$C$1:$C$1001,0)=0,"",_xlfn.XLOOKUP(C941,customers!$A$1:$A$1001,customers!$C$1:$C$1001))</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6">
        <f>INDEX(products!$A$1:$G$49,MATCH(orders!$D941,products!$A$1:$A$49,0),MATCH(orders!L$1,products!$A$1:$G$1,0))</f>
        <v>4.7549999999999999</v>
      </c>
      <c r="M941" s="6">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cm="1">
        <f t="array" ref="F942">_xlfn.XLOOKUP(C942,customers!A$1:$A$1001,customers!$B$1:$B$1001,0)</f>
        <v>Geoffrey Siuda</v>
      </c>
      <c r="G942" s="2" t="str">
        <f>IF(_xlfn.XLOOKUP(C942,customers!$A$1:$A$1001,customers!$C$1:$C$1001,0)=0,"",_xlfn.XLOOKUP(C942,customers!$A$1:$A$1001,customers!$C$1:$C$1001))</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6">
        <f>INDEX(products!$A$1:$G$49,MATCH(orders!$D942,products!$A$1:$A$49,0),MATCH(orders!L$1,products!$A$1:$G$1,0))</f>
        <v>7.169999999999999</v>
      </c>
      <c r="M942" s="6">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cm="1">
        <f t="array" ref="F943">_xlfn.XLOOKUP(C943,customers!A$1:$A$1001,customers!$B$1:$B$1001,0)</f>
        <v>Henderson Crowne</v>
      </c>
      <c r="G943" s="2" t="str">
        <f>IF(_xlfn.XLOOKUP(C943,customers!$A$1:$A$1001,customers!$C$1:$C$1001,0)=0,"",_xlfn.XLOOKUP(C943,customers!$A$1:$A$1001,customers!$C$1:$C$1001))</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6">
        <f>INDEX(products!$A$1:$G$49,MATCH(orders!$D943,products!$A$1:$A$49,0),MATCH(orders!L$1,products!$A$1:$G$1,0))</f>
        <v>7.77</v>
      </c>
      <c r="M943" s="6">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cm="1">
        <f t="array" ref="F944">_xlfn.XLOOKUP(C944,customers!A$1:$A$1001,customers!$B$1:$B$1001,0)</f>
        <v>Vernor Pawsey</v>
      </c>
      <c r="G944" s="2" t="str">
        <f>IF(_xlfn.XLOOKUP(C944,customers!$A$1:$A$1001,customers!$C$1:$C$1001,0)=0,"",_xlfn.XLOOKUP(C944,customers!$A$1:$A$1001,customers!$C$1:$C$1001))</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6">
        <f>INDEX(products!$A$1:$G$49,MATCH(orders!$D944,products!$A$1:$A$49,0),MATCH(orders!L$1,products!$A$1:$G$1,0))</f>
        <v>11.95</v>
      </c>
      <c r="M944" s="6">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cm="1">
        <f t="array" ref="F945">_xlfn.XLOOKUP(C945,customers!A$1:$A$1001,customers!$B$1:$B$1001,0)</f>
        <v>Augustin Waterhouse</v>
      </c>
      <c r="G945" s="2" t="str">
        <f>IF(_xlfn.XLOOKUP(C945,customers!$A$1:$A$1001,customers!$C$1:$C$1001,0)=0,"",_xlfn.XLOOKUP(C945,customers!$A$1:$A$1001,customers!$C$1:$C$1001))</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6">
        <f>INDEX(products!$A$1:$G$49,MATCH(orders!$D945,products!$A$1:$A$49,0),MATCH(orders!L$1,products!$A$1:$G$1,0))</f>
        <v>7.77</v>
      </c>
      <c r="M945" s="6">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cm="1">
        <f t="array" ref="F946">_xlfn.XLOOKUP(C946,customers!A$1:$A$1001,customers!$B$1:$B$1001,0)</f>
        <v>Fanchon Haughian</v>
      </c>
      <c r="G946" s="2" t="str">
        <f>IF(_xlfn.XLOOKUP(C946,customers!$A$1:$A$1001,customers!$C$1:$C$1001,0)=0,"",_xlfn.XLOOKUP(C946,customers!$A$1:$A$1001,customers!$C$1:$C$1001))</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6">
        <f>INDEX(products!$A$1:$G$49,MATCH(orders!$D946,products!$A$1:$A$49,0),MATCH(orders!L$1,products!$A$1:$G$1,0))</f>
        <v>7.169999999999999</v>
      </c>
      <c r="M946" s="6">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cm="1">
        <f t="array" ref="F947">_xlfn.XLOOKUP(C947,customers!A$1:$A$1001,customers!$B$1:$B$1001,0)</f>
        <v>Jaimie Hatz</v>
      </c>
      <c r="G947" s="2" t="str">
        <f>IF(_xlfn.XLOOKUP(C947,customers!$A$1:$A$1001,customers!$C$1:$C$1001,0)=0,"",_xlfn.XLOOKUP(C947,customers!$A$1:$A$1001,customers!$C$1:$C$1001))</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6">
        <f>INDEX(products!$A$1:$G$49,MATCH(orders!$D947,products!$A$1:$A$49,0),MATCH(orders!L$1,products!$A$1:$G$1,0))</f>
        <v>29.784999999999997</v>
      </c>
      <c r="M947" s="6">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cm="1">
        <f t="array" ref="F948">_xlfn.XLOOKUP(C948,customers!A$1:$A$1001,customers!$B$1:$B$1001,0)</f>
        <v>Edeline Edney</v>
      </c>
      <c r="G948" s="2" t="str">
        <f>IF(_xlfn.XLOOKUP(C948,customers!$A$1:$A$1001,customers!$C$1:$C$1001,0)=0,"",_xlfn.XLOOKUP(C948,customers!$A$1:$A$1001,customers!$C$1:$C$1001))</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6">
        <f>INDEX(products!$A$1:$G$49,MATCH(orders!$D948,products!$A$1:$A$49,0),MATCH(orders!L$1,products!$A$1:$G$1,0))</f>
        <v>7.77</v>
      </c>
      <c r="M948" s="6">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cm="1">
        <f t="array" ref="F949">_xlfn.XLOOKUP(C949,customers!A$1:$A$1001,customers!$B$1:$B$1001,0)</f>
        <v>Rickie Faltin</v>
      </c>
      <c r="G949" s="2" t="str">
        <f>IF(_xlfn.XLOOKUP(C949,customers!$A$1:$A$1001,customers!$C$1:$C$1001,0)=0,"",_xlfn.XLOOKUP(C949,customers!$A$1:$A$1001,customers!$C$1:$C$1001))</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6">
        <f>INDEX(products!$A$1:$G$49,MATCH(orders!$D949,products!$A$1:$A$49,0),MATCH(orders!L$1,products!$A$1:$G$1,0))</f>
        <v>11.25</v>
      </c>
      <c r="M949" s="6">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cm="1">
        <f t="array" ref="F950">_xlfn.XLOOKUP(C950,customers!A$1:$A$1001,customers!$B$1:$B$1001,0)</f>
        <v>Gnni Cheeke</v>
      </c>
      <c r="G950" s="2" t="str">
        <f>IF(_xlfn.XLOOKUP(C950,customers!$A$1:$A$1001,customers!$C$1:$C$1001,0)=0,"",_xlfn.XLOOKUP(C950,customers!$A$1:$A$1001,customers!$C$1:$C$1001))</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6">
        <f>INDEX(products!$A$1:$G$49,MATCH(orders!$D950,products!$A$1:$A$49,0),MATCH(orders!L$1,products!$A$1:$G$1,0))</f>
        <v>27.945</v>
      </c>
      <c r="M950" s="6">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cm="1">
        <f t="array" ref="F951">_xlfn.XLOOKUP(C951,customers!A$1:$A$1001,customers!$B$1:$B$1001,0)</f>
        <v>Gwenni Ratt</v>
      </c>
      <c r="G951" s="2" t="str">
        <f>IF(_xlfn.XLOOKUP(C951,customers!$A$1:$A$1001,customers!$C$1:$C$1001,0)=0,"",_xlfn.XLOOKUP(C951,customers!$A$1:$A$1001,customers!$C$1:$C$1001))</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6">
        <f>INDEX(products!$A$1:$G$49,MATCH(orders!$D951,products!$A$1:$A$49,0),MATCH(orders!L$1,products!$A$1:$G$1,0))</f>
        <v>27.484999999999996</v>
      </c>
      <c r="M951" s="6">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cm="1">
        <f t="array" ref="F952">_xlfn.XLOOKUP(C952,customers!A$1:$A$1001,customers!$B$1:$B$1001,0)</f>
        <v>Johnath Fairebrother</v>
      </c>
      <c r="G952" s="2" t="str">
        <f>IF(_xlfn.XLOOKUP(C952,customers!$A$1:$A$1001,customers!$C$1:$C$1001,0)=0,"",_xlfn.XLOOKUP(C952,customers!$A$1:$A$1001,customers!$C$1:$C$1001))</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6">
        <f>INDEX(products!$A$1:$G$49,MATCH(orders!$D952,products!$A$1:$A$49,0),MATCH(orders!L$1,products!$A$1:$G$1,0))</f>
        <v>3.5849999999999995</v>
      </c>
      <c r="M952" s="6">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cm="1">
        <f t="array" ref="F953">_xlfn.XLOOKUP(C953,customers!A$1:$A$1001,customers!$B$1:$B$1001,0)</f>
        <v>Ingamar Eberlein</v>
      </c>
      <c r="G953" s="2" t="str">
        <f>IF(_xlfn.XLOOKUP(C953,customers!$A$1:$A$1001,customers!$C$1:$C$1001,0)=0,"",_xlfn.XLOOKUP(C953,customers!$A$1:$A$1001,customers!$C$1:$C$1001))</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6">
        <f>INDEX(products!$A$1:$G$49,MATCH(orders!$D953,products!$A$1:$A$49,0),MATCH(orders!L$1,products!$A$1:$G$1,0))</f>
        <v>3.5849999999999995</v>
      </c>
      <c r="M953" s="6">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cm="1">
        <f t="array" ref="F954">_xlfn.XLOOKUP(C954,customers!A$1:$A$1001,customers!$B$1:$B$1001,0)</f>
        <v>Jilly Dreng</v>
      </c>
      <c r="G954" s="2" t="str">
        <f>IF(_xlfn.XLOOKUP(C954,customers!$A$1:$A$1001,customers!$C$1:$C$1001,0)=0,"",_xlfn.XLOOKUP(C954,customers!$A$1:$A$1001,customers!$C$1:$C$1001))</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6">
        <f>INDEX(products!$A$1:$G$49,MATCH(orders!$D954,products!$A$1:$A$49,0),MATCH(orders!L$1,products!$A$1:$G$1,0))</f>
        <v>11.25</v>
      </c>
      <c r="M954" s="6">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cm="1">
        <f t="array" ref="F955">_xlfn.XLOOKUP(C955,customers!A$1:$A$1001,customers!$B$1:$B$1001,0)</f>
        <v>Brenn Dundredge</v>
      </c>
      <c r="G955" s="2" t="str">
        <f>IF(_xlfn.XLOOKUP(C955,customers!$A$1:$A$1001,customers!$C$1:$C$1001,0)=0,"",_xlfn.XLOOKUP(C955,customers!$A$1:$A$1001,customers!$C$1:$C$1001))</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6">
        <f>INDEX(products!$A$1:$G$49,MATCH(orders!$D955,products!$A$1:$A$49,0),MATCH(orders!L$1,products!$A$1:$G$1,0))</f>
        <v>3.8849999999999998</v>
      </c>
      <c r="M955" s="6">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cm="1">
        <f t="array" ref="F956">_xlfn.XLOOKUP(C956,customers!A$1:$A$1001,customers!$B$1:$B$1001,0)</f>
        <v>Brenn Dundredge</v>
      </c>
      <c r="G956" s="2" t="str">
        <f>IF(_xlfn.XLOOKUP(C956,customers!$A$1:$A$1001,customers!$C$1:$C$1001,0)=0,"",_xlfn.XLOOKUP(C956,customers!$A$1:$A$1001,customers!$C$1:$C$1001))</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6">
        <f>INDEX(products!$A$1:$G$49,MATCH(orders!$D956,products!$A$1:$A$49,0),MATCH(orders!L$1,products!$A$1:$G$1,0))</f>
        <v>27.945</v>
      </c>
      <c r="M956" s="6">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cm="1">
        <f t="array" ref="F957">_xlfn.XLOOKUP(C957,customers!A$1:$A$1001,customers!$B$1:$B$1001,0)</f>
        <v>Brenn Dundredge</v>
      </c>
      <c r="G957" s="2" t="str">
        <f>IF(_xlfn.XLOOKUP(C957,customers!$A$1:$A$1001,customers!$C$1:$C$1001,0)=0,"",_xlfn.XLOOKUP(C957,customers!$A$1:$A$1001,customers!$C$1:$C$1001))</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6">
        <f>INDEX(products!$A$1:$G$49,MATCH(orders!$D957,products!$A$1:$A$49,0),MATCH(orders!L$1,products!$A$1:$G$1,0))</f>
        <v>34.154999999999994</v>
      </c>
      <c r="M957" s="6">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cm="1">
        <f t="array" ref="F958">_xlfn.XLOOKUP(C958,customers!A$1:$A$1001,customers!$B$1:$B$1001,0)</f>
        <v>Brenn Dundredge</v>
      </c>
      <c r="G958" s="2" t="str">
        <f>IF(_xlfn.XLOOKUP(C958,customers!$A$1:$A$1001,customers!$C$1:$C$1001,0)=0,"",_xlfn.XLOOKUP(C958,customers!$A$1:$A$1001,customers!$C$1:$C$1001))</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6">
        <f>INDEX(products!$A$1:$G$49,MATCH(orders!$D958,products!$A$1:$A$49,0),MATCH(orders!L$1,products!$A$1:$G$1,0))</f>
        <v>27.484999999999996</v>
      </c>
      <c r="M958" s="6">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cm="1">
        <f t="array" ref="F959">_xlfn.XLOOKUP(C959,customers!A$1:$A$1001,customers!$B$1:$B$1001,0)</f>
        <v>Brenn Dundredge</v>
      </c>
      <c r="G959" s="2" t="str">
        <f>IF(_xlfn.XLOOKUP(C959,customers!$A$1:$A$1001,customers!$C$1:$C$1001,0)=0,"",_xlfn.XLOOKUP(C959,customers!$A$1:$A$1001,customers!$C$1:$C$1001))</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6">
        <f>INDEX(products!$A$1:$G$49,MATCH(orders!$D959,products!$A$1:$A$49,0),MATCH(orders!L$1,products!$A$1:$G$1,0))</f>
        <v>14.85</v>
      </c>
      <c r="M959" s="6">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cm="1">
        <f t="array" ref="F960">_xlfn.XLOOKUP(C960,customers!A$1:$A$1001,customers!$B$1:$B$1001,0)</f>
        <v>Brenn Dundredge</v>
      </c>
      <c r="G960" s="2" t="str">
        <f>IF(_xlfn.XLOOKUP(C960,customers!$A$1:$A$1001,customers!$C$1:$C$1001,0)=0,"",_xlfn.XLOOKUP(C960,customers!$A$1:$A$1001,customers!$C$1:$C$1001))</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6">
        <f>INDEX(products!$A$1:$G$49,MATCH(orders!$D960,products!$A$1:$A$49,0),MATCH(orders!L$1,products!$A$1:$G$1,0))</f>
        <v>3.8849999999999998</v>
      </c>
      <c r="M960" s="6">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cm="1">
        <f t="array" ref="F961">_xlfn.XLOOKUP(C961,customers!A$1:$A$1001,customers!$B$1:$B$1001,0)</f>
        <v>Rhodie Strathern</v>
      </c>
      <c r="G961" s="2" t="str">
        <f>IF(_xlfn.XLOOKUP(C961,customers!$A$1:$A$1001,customers!$C$1:$C$1001,0)=0,"",_xlfn.XLOOKUP(C961,customers!$A$1:$A$1001,customers!$C$1:$C$1001))</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6">
        <f>INDEX(products!$A$1:$G$49,MATCH(orders!$D961,products!$A$1:$A$49,0),MATCH(orders!L$1,products!$A$1:$G$1,0))</f>
        <v>4.7549999999999999</v>
      </c>
      <c r="M961" s="6">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cm="1">
        <f t="array" ref="F962">_xlfn.XLOOKUP(C962,customers!A$1:$A$1001,customers!$B$1:$B$1001,0)</f>
        <v>Chad Miguel</v>
      </c>
      <c r="G962" s="2" t="str">
        <f>IF(_xlfn.XLOOKUP(C962,customers!$A$1:$A$1001,customers!$C$1:$C$1001,0)=0,"",_xlfn.XLOOKUP(C962,customers!$A$1:$A$1001,customers!$C$1:$C$1001))</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6">
        <f>INDEX(products!$A$1:$G$49,MATCH(orders!$D962,products!$A$1:$A$49,0),MATCH(orders!L$1,products!$A$1:$G$1,0))</f>
        <v>15.85</v>
      </c>
      <c r="M962" s="6">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cm="1">
        <f t="array" ref="F963">_xlfn.XLOOKUP(C963,customers!A$1:$A$1001,customers!$B$1:$B$1001,0)</f>
        <v>Florinda Matusovsky</v>
      </c>
      <c r="G963" s="2" t="str">
        <f>IF(_xlfn.XLOOKUP(C963,customers!$A$1:$A$1001,customers!$C$1:$C$1001,0)=0,"",_xlfn.XLOOKUP(C963,customers!$A$1:$A$1001,customers!$C$1:$C$1001))</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6">
        <f>INDEX(products!$A$1:$G$49,MATCH(orders!$D963,products!$A$1:$A$49,0),MATCH(orders!L$1,products!$A$1:$G$1,0))</f>
        <v>22.884999999999998</v>
      </c>
      <c r="M963" s="6">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cm="1">
        <f t="array" ref="F964">_xlfn.XLOOKUP(C964,customers!A$1:$A$1001,customers!$B$1:$B$1001,0)</f>
        <v>Morly Rocks</v>
      </c>
      <c r="G964" s="2" t="str">
        <f>IF(_xlfn.XLOOKUP(C964,customers!$A$1:$A$1001,customers!$C$1:$C$1001,0)=0,"",_xlfn.XLOOKUP(C964,customers!$A$1:$A$1001,customers!$C$1:$C$1001))</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6">
        <f>INDEX(products!$A$1:$G$49,MATCH(orders!$D964,products!$A$1:$A$49,0),MATCH(orders!L$1,products!$A$1:$G$1,0))</f>
        <v>8.9499999999999993</v>
      </c>
      <c r="M964" s="6">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cm="1">
        <f t="array" ref="F965">_xlfn.XLOOKUP(C965,customers!A$1:$A$1001,customers!$B$1:$B$1001,0)</f>
        <v>Yuri Burrells</v>
      </c>
      <c r="G965" s="2" t="str">
        <f>IF(_xlfn.XLOOKUP(C965,customers!$A$1:$A$1001,customers!$C$1:$C$1001,0)=0,"",_xlfn.XLOOKUP(C965,customers!$A$1:$A$1001,customers!$C$1:$C$1001))</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6">
        <f>INDEX(products!$A$1:$G$49,MATCH(orders!$D965,products!$A$1:$A$49,0),MATCH(orders!L$1,products!$A$1:$G$1,0))</f>
        <v>5.97</v>
      </c>
      <c r="M965" s="6">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cm="1">
        <f t="array" ref="F966">_xlfn.XLOOKUP(C966,customers!A$1:$A$1001,customers!$B$1:$B$1001,0)</f>
        <v>Cleopatra Goodrum</v>
      </c>
      <c r="G966" s="2" t="str">
        <f>IF(_xlfn.XLOOKUP(C966,customers!$A$1:$A$1001,customers!$C$1:$C$1001,0)=0,"",_xlfn.XLOOKUP(C966,customers!$A$1:$A$1001,customers!$C$1:$C$1001))</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6">
        <f>INDEX(products!$A$1:$G$49,MATCH(orders!$D966,products!$A$1:$A$49,0),MATCH(orders!L$1,products!$A$1:$G$1,0))</f>
        <v>4.4550000000000001</v>
      </c>
      <c r="M966" s="6">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cm="1">
        <f t="array" ref="F967">_xlfn.XLOOKUP(C967,customers!A$1:$A$1001,customers!$B$1:$B$1001,0)</f>
        <v>Joey Jefferys</v>
      </c>
      <c r="G967" s="2" t="str">
        <f>IF(_xlfn.XLOOKUP(C967,customers!$A$1:$A$1001,customers!$C$1:$C$1001,0)=0,"",_xlfn.XLOOKUP(C967,customers!$A$1:$A$1001,customers!$C$1:$C$1001))</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6">
        <f>INDEX(products!$A$1:$G$49,MATCH(orders!$D967,products!$A$1:$A$49,0),MATCH(orders!L$1,products!$A$1:$G$1,0))</f>
        <v>9.9499999999999993</v>
      </c>
      <c r="M967" s="6">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cm="1">
        <f t="array" ref="F968">_xlfn.XLOOKUP(C968,customers!A$1:$A$1001,customers!$B$1:$B$1001,0)</f>
        <v>Bearnard Wardell</v>
      </c>
      <c r="G968" s="2" t="str">
        <f>IF(_xlfn.XLOOKUP(C968,customers!$A$1:$A$1001,customers!$C$1:$C$1001,0)=0,"",_xlfn.XLOOKUP(C968,customers!$A$1:$A$1001,customers!$C$1:$C$1001))</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6">
        <f>INDEX(products!$A$1:$G$49,MATCH(orders!$D968,products!$A$1:$A$49,0),MATCH(orders!L$1,products!$A$1:$G$1,0))</f>
        <v>8.91</v>
      </c>
      <c r="M968" s="6">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cm="1">
        <f t="array" ref="F969">_xlfn.XLOOKUP(C969,customers!A$1:$A$1001,customers!$B$1:$B$1001,0)</f>
        <v>Zeke Walisiak</v>
      </c>
      <c r="G969" s="2" t="str">
        <f>IF(_xlfn.XLOOKUP(C969,customers!$A$1:$A$1001,customers!$C$1:$C$1001,0)=0,"",_xlfn.XLOOKUP(C969,customers!$A$1:$A$1001,customers!$C$1:$C$1001))</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6">
        <f>INDEX(products!$A$1:$G$49,MATCH(orders!$D969,products!$A$1:$A$49,0),MATCH(orders!L$1,products!$A$1:$G$1,0))</f>
        <v>2.6849999999999996</v>
      </c>
      <c r="M969" s="6">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cm="1">
        <f t="array" ref="F970">_xlfn.XLOOKUP(C970,customers!A$1:$A$1001,customers!$B$1:$B$1001,0)</f>
        <v>Wiley Leopold</v>
      </c>
      <c r="G970" s="2" t="str">
        <f>IF(_xlfn.XLOOKUP(C970,customers!$A$1:$A$1001,customers!$C$1:$C$1001,0)=0,"",_xlfn.XLOOKUP(C970,customers!$A$1:$A$1001,customers!$C$1:$C$1001))</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6">
        <f>INDEX(products!$A$1:$G$49,MATCH(orders!$D970,products!$A$1:$A$49,0),MATCH(orders!L$1,products!$A$1:$G$1,0))</f>
        <v>2.9849999999999999</v>
      </c>
      <c r="M970" s="6">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cm="1">
        <f t="array" ref="F971">_xlfn.XLOOKUP(C971,customers!A$1:$A$1001,customers!$B$1:$B$1001,0)</f>
        <v>Chiarra Shalders</v>
      </c>
      <c r="G971" s="2" t="str">
        <f>IF(_xlfn.XLOOKUP(C971,customers!$A$1:$A$1001,customers!$C$1:$C$1001,0)=0,"",_xlfn.XLOOKUP(C971,customers!$A$1:$A$1001,customers!$C$1:$C$1001))</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6">
        <f>INDEX(products!$A$1:$G$49,MATCH(orders!$D971,products!$A$1:$A$49,0),MATCH(orders!L$1,products!$A$1:$G$1,0))</f>
        <v>12.95</v>
      </c>
      <c r="M971" s="6">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cm="1">
        <f t="array" ref="F972">_xlfn.XLOOKUP(C972,customers!A$1:$A$1001,customers!$B$1:$B$1001,0)</f>
        <v>Sharl Southerill</v>
      </c>
      <c r="G972" s="2" t="str">
        <f>IF(_xlfn.XLOOKUP(C972,customers!$A$1:$A$1001,customers!$C$1:$C$1001,0)=0,"",_xlfn.XLOOKUP(C972,customers!$A$1:$A$1001,customers!$C$1:$C$1001))</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6">
        <f>INDEX(products!$A$1:$G$49,MATCH(orders!$D972,products!$A$1:$A$49,0),MATCH(orders!L$1,products!$A$1:$G$1,0))</f>
        <v>8.25</v>
      </c>
      <c r="M972" s="6">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cm="1">
        <f t="array" ref="F973">_xlfn.XLOOKUP(C973,customers!A$1:$A$1001,customers!$B$1:$B$1001,0)</f>
        <v>Noni Furber</v>
      </c>
      <c r="G973" s="2" t="str">
        <f>IF(_xlfn.XLOOKUP(C973,customers!$A$1:$A$1001,customers!$C$1:$C$1001,0)=0,"",_xlfn.XLOOKUP(C973,customers!$A$1:$A$1001,customers!$C$1:$C$1001))</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6">
        <f>INDEX(products!$A$1:$G$49,MATCH(orders!$D973,products!$A$1:$A$49,0),MATCH(orders!L$1,products!$A$1:$G$1,0))</f>
        <v>29.784999999999997</v>
      </c>
      <c r="M973" s="6">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cm="1">
        <f t="array" ref="F974">_xlfn.XLOOKUP(C974,customers!A$1:$A$1001,customers!$B$1:$B$1001,0)</f>
        <v>Dinah Crutcher</v>
      </c>
      <c r="G974" s="2" t="str">
        <f>IF(_xlfn.XLOOKUP(C974,customers!$A$1:$A$1001,customers!$C$1:$C$1001,0)=0,"",_xlfn.XLOOKUP(C974,customers!$A$1:$A$1001,customers!$C$1:$C$1001))</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6">
        <f>INDEX(products!$A$1:$G$49,MATCH(orders!$D974,products!$A$1:$A$49,0),MATCH(orders!L$1,products!$A$1:$G$1,0))</f>
        <v>29.784999999999997</v>
      </c>
      <c r="M974" s="6">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cm="1">
        <f t="array" ref="F975">_xlfn.XLOOKUP(C975,customers!A$1:$A$1001,customers!$B$1:$B$1001,0)</f>
        <v>Charlean Keave</v>
      </c>
      <c r="G975" s="2" t="str">
        <f>IF(_xlfn.XLOOKUP(C975,customers!$A$1:$A$1001,customers!$C$1:$C$1001,0)=0,"",_xlfn.XLOOKUP(C975,customers!$A$1:$A$1001,customers!$C$1:$C$1001))</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6">
        <f>INDEX(products!$A$1:$G$49,MATCH(orders!$D975,products!$A$1:$A$49,0),MATCH(orders!L$1,products!$A$1:$G$1,0))</f>
        <v>14.55</v>
      </c>
      <c r="M975" s="6">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cm="1">
        <f t="array" ref="F976">_xlfn.XLOOKUP(C976,customers!A$1:$A$1001,customers!$B$1:$B$1001,0)</f>
        <v>Sada Roseborough</v>
      </c>
      <c r="G976" s="2" t="str">
        <f>IF(_xlfn.XLOOKUP(C976,customers!$A$1:$A$1001,customers!$C$1:$C$1001,0)=0,"",_xlfn.XLOOKUP(C976,customers!$A$1:$A$1001,customers!$C$1:$C$1001))</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6">
        <f>INDEX(products!$A$1:$G$49,MATCH(orders!$D976,products!$A$1:$A$49,0),MATCH(orders!L$1,products!$A$1:$G$1,0))</f>
        <v>5.3699999999999992</v>
      </c>
      <c r="M976" s="6">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cm="1">
        <f t="array" ref="F977">_xlfn.XLOOKUP(C977,customers!A$1:$A$1001,customers!$B$1:$B$1001,0)</f>
        <v>Clayton Kingwell</v>
      </c>
      <c r="G977" s="2" t="str">
        <f>IF(_xlfn.XLOOKUP(C977,customers!$A$1:$A$1001,customers!$C$1:$C$1001,0)=0,"",_xlfn.XLOOKUP(C977,customers!$A$1:$A$1001,customers!$C$1:$C$1001))</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6">
        <f>INDEX(products!$A$1:$G$49,MATCH(orders!$D977,products!$A$1:$A$49,0),MATCH(orders!L$1,products!$A$1:$G$1,0))</f>
        <v>2.9849999999999999</v>
      </c>
      <c r="M977" s="6">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cm="1">
        <f t="array" ref="F978">_xlfn.XLOOKUP(C978,customers!A$1:$A$1001,customers!$B$1:$B$1001,0)</f>
        <v>Kacy Canto</v>
      </c>
      <c r="G978" s="2" t="str">
        <f>IF(_xlfn.XLOOKUP(C978,customers!$A$1:$A$1001,customers!$C$1:$C$1001,0)=0,"",_xlfn.XLOOKUP(C978,customers!$A$1:$A$1001,customers!$C$1:$C$1001))</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6">
        <f>INDEX(products!$A$1:$G$49,MATCH(orders!$D978,products!$A$1:$A$49,0),MATCH(orders!L$1,products!$A$1:$G$1,0))</f>
        <v>27.484999999999996</v>
      </c>
      <c r="M978" s="6">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cm="1">
        <f t="array" ref="F979">_xlfn.XLOOKUP(C979,customers!A$1:$A$1001,customers!$B$1:$B$1001,0)</f>
        <v>Mab Blakemore</v>
      </c>
      <c r="G979" s="2" t="str">
        <f>IF(_xlfn.XLOOKUP(C979,customers!$A$1:$A$1001,customers!$C$1:$C$1001,0)=0,"",_xlfn.XLOOKUP(C979,customers!$A$1:$A$1001,customers!$C$1:$C$1001))</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6">
        <f>INDEX(products!$A$1:$G$49,MATCH(orders!$D979,products!$A$1:$A$49,0),MATCH(orders!L$1,products!$A$1:$G$1,0))</f>
        <v>11.95</v>
      </c>
      <c r="M979" s="6">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cm="1">
        <f t="array" ref="F980">_xlfn.XLOOKUP(C980,customers!A$1:$A$1001,customers!$B$1:$B$1001,0)</f>
        <v>Charlean Keave</v>
      </c>
      <c r="G980" s="2" t="str">
        <f>IF(_xlfn.XLOOKUP(C980,customers!$A$1:$A$1001,customers!$C$1:$C$1001,0)=0,"",_xlfn.XLOOKUP(C980,customers!$A$1:$A$1001,customers!$C$1:$C$1001))</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6">
        <f>INDEX(products!$A$1:$G$49,MATCH(orders!$D980,products!$A$1:$A$49,0),MATCH(orders!L$1,products!$A$1:$G$1,0))</f>
        <v>7.77</v>
      </c>
      <c r="M980" s="6">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cm="1">
        <f t="array" ref="F981">_xlfn.XLOOKUP(C981,customers!A$1:$A$1001,customers!$B$1:$B$1001,0)</f>
        <v>Javier Causnett</v>
      </c>
      <c r="G981" s="2" t="str">
        <f>IF(_xlfn.XLOOKUP(C981,customers!$A$1:$A$1001,customers!$C$1:$C$1001,0)=0,"",_xlfn.XLOOKUP(C981,customers!$A$1:$A$1001,customers!$C$1:$C$1001))</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6">
        <f>INDEX(products!$A$1:$G$49,MATCH(orders!$D981,products!$A$1:$A$49,0),MATCH(orders!L$1,products!$A$1:$G$1,0))</f>
        <v>5.3699999999999992</v>
      </c>
      <c r="M981" s="6">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cm="1">
        <f t="array" ref="F982">_xlfn.XLOOKUP(C982,customers!A$1:$A$1001,customers!$B$1:$B$1001,0)</f>
        <v>Demetris Micheli</v>
      </c>
      <c r="G982" s="2" t="str">
        <f>IF(_xlfn.XLOOKUP(C982,customers!$A$1:$A$1001,customers!$C$1:$C$1001,0)=0,"",_xlfn.XLOOKUP(C982,customers!$A$1:$A$1001,customers!$C$1:$C$1001))</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6">
        <f>INDEX(products!$A$1:$G$49,MATCH(orders!$D982,products!$A$1:$A$49,0),MATCH(orders!L$1,products!$A$1:$G$1,0))</f>
        <v>27.945</v>
      </c>
      <c r="M982" s="6">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cm="1">
        <f t="array" ref="F983">_xlfn.XLOOKUP(C983,customers!A$1:$A$1001,customers!$B$1:$B$1001,0)</f>
        <v>Chloette Bernardot</v>
      </c>
      <c r="G983" s="2" t="str">
        <f>IF(_xlfn.XLOOKUP(C983,customers!$A$1:$A$1001,customers!$C$1:$C$1001,0)=0,"",_xlfn.XLOOKUP(C983,customers!$A$1:$A$1001,customers!$C$1:$C$1001))</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6">
        <f>INDEX(products!$A$1:$G$49,MATCH(orders!$D983,products!$A$1:$A$49,0),MATCH(orders!L$1,products!$A$1:$G$1,0))</f>
        <v>3.645</v>
      </c>
      <c r="M983" s="6">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cm="1">
        <f t="array" ref="F984">_xlfn.XLOOKUP(C984,customers!A$1:$A$1001,customers!$B$1:$B$1001,0)</f>
        <v>Kim Kemery</v>
      </c>
      <c r="G984" s="2" t="str">
        <f>IF(_xlfn.XLOOKUP(C984,customers!$A$1:$A$1001,customers!$C$1:$C$1001,0)=0,"",_xlfn.XLOOKUP(C984,customers!$A$1:$A$1001,customers!$C$1:$C$1001))</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6">
        <f>INDEX(products!$A$1:$G$49,MATCH(orders!$D984,products!$A$1:$A$49,0),MATCH(orders!L$1,products!$A$1:$G$1,0))</f>
        <v>11.95</v>
      </c>
      <c r="M984" s="6">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cm="1">
        <f t="array" ref="F985">_xlfn.XLOOKUP(C985,customers!A$1:$A$1001,customers!$B$1:$B$1001,0)</f>
        <v>Fanchette Parlot</v>
      </c>
      <c r="G985" s="2" t="str">
        <f>IF(_xlfn.XLOOKUP(C985,customers!$A$1:$A$1001,customers!$C$1:$C$1001,0)=0,"",_xlfn.XLOOKUP(C985,customers!$A$1:$A$1001,customers!$C$1:$C$1001))</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6">
        <f>INDEX(products!$A$1:$G$49,MATCH(orders!$D985,products!$A$1:$A$49,0),MATCH(orders!L$1,products!$A$1:$G$1,0))</f>
        <v>3.375</v>
      </c>
      <c r="M985" s="6">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cm="1">
        <f t="array" ref="F986">_xlfn.XLOOKUP(C986,customers!A$1:$A$1001,customers!$B$1:$B$1001,0)</f>
        <v>Ramon Cheak</v>
      </c>
      <c r="G986" s="2" t="str">
        <f>IF(_xlfn.XLOOKUP(C986,customers!$A$1:$A$1001,customers!$C$1:$C$1001,0)=0,"",_xlfn.XLOOKUP(C986,customers!$A$1:$A$1001,customers!$C$1:$C$1001))</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6">
        <f>INDEX(products!$A$1:$G$49,MATCH(orders!$D986,products!$A$1:$A$49,0),MATCH(orders!L$1,products!$A$1:$G$1,0))</f>
        <v>31.624999999999996</v>
      </c>
      <c r="M986" s="6">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cm="1">
        <f t="array" ref="F987">_xlfn.XLOOKUP(C987,customers!A$1:$A$1001,customers!$B$1:$B$1001,0)</f>
        <v>Koressa O'Geneay</v>
      </c>
      <c r="G987" s="2" t="str">
        <f>IF(_xlfn.XLOOKUP(C987,customers!$A$1:$A$1001,customers!$C$1:$C$1001,0)=0,"",_xlfn.XLOOKUP(C987,customers!$A$1:$A$1001,customers!$C$1:$C$1001))</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6">
        <f>INDEX(products!$A$1:$G$49,MATCH(orders!$D987,products!$A$1:$A$49,0),MATCH(orders!L$1,products!$A$1:$G$1,0))</f>
        <v>11.95</v>
      </c>
      <c r="M987" s="6">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cm="1">
        <f t="array" ref="F988">_xlfn.XLOOKUP(C988,customers!A$1:$A$1001,customers!$B$1:$B$1001,0)</f>
        <v>Claudell Ayre</v>
      </c>
      <c r="G988" s="2" t="str">
        <f>IF(_xlfn.XLOOKUP(C988,customers!$A$1:$A$1001,customers!$C$1:$C$1001,0)=0,"",_xlfn.XLOOKUP(C988,customers!$A$1:$A$1001,customers!$C$1:$C$1001))</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6">
        <f>INDEX(products!$A$1:$G$49,MATCH(orders!$D988,products!$A$1:$A$49,0),MATCH(orders!L$1,products!$A$1:$G$1,0))</f>
        <v>33.464999999999996</v>
      </c>
      <c r="M988" s="6">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cm="1">
        <f t="array" ref="F989">_xlfn.XLOOKUP(C989,customers!A$1:$A$1001,customers!$B$1:$B$1001,0)</f>
        <v>Lorianne Kyneton</v>
      </c>
      <c r="G989" s="2" t="str">
        <f>IF(_xlfn.XLOOKUP(C989,customers!$A$1:$A$1001,customers!$C$1:$C$1001,0)=0,"",_xlfn.XLOOKUP(C989,customers!$A$1:$A$1001,customers!$C$1:$C$1001))</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6">
        <f>INDEX(products!$A$1:$G$49,MATCH(orders!$D989,products!$A$1:$A$49,0),MATCH(orders!L$1,products!$A$1:$G$1,0))</f>
        <v>5.97</v>
      </c>
      <c r="M989" s="6">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cm="1">
        <f t="array" ref="F990">_xlfn.XLOOKUP(C990,customers!A$1:$A$1001,customers!$B$1:$B$1001,0)</f>
        <v>Adele McFayden</v>
      </c>
      <c r="G990" s="2" t="str">
        <f>IF(_xlfn.XLOOKUP(C990,customers!$A$1:$A$1001,customers!$C$1:$C$1001,0)=0,"",_xlfn.XLOOKUP(C990,customers!$A$1:$A$1001,customers!$C$1:$C$1001))</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6">
        <f>INDEX(products!$A$1:$G$49,MATCH(orders!$D990,products!$A$1:$A$49,0),MATCH(orders!L$1,products!$A$1:$G$1,0))</f>
        <v>9.9499999999999993</v>
      </c>
      <c r="M990" s="6">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cm="1">
        <f t="array" ref="F991">_xlfn.XLOOKUP(C991,customers!A$1:$A$1001,customers!$B$1:$B$1001,0)</f>
        <v>Herta Layne</v>
      </c>
      <c r="G991" s="2" t="str">
        <f>IF(_xlfn.XLOOKUP(C991,customers!$A$1:$A$1001,customers!$C$1:$C$1001,0)=0,"",_xlfn.XLOOKUP(C991,customers!$A$1:$A$1001,customers!$C$1:$C$1001))</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6">
        <f>INDEX(products!$A$1:$G$49,MATCH(orders!$D991,products!$A$1:$A$49,0),MATCH(orders!L$1,products!$A$1:$G$1,0))</f>
        <v>25.874999999999996</v>
      </c>
      <c r="M991" s="6">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cm="1">
        <f t="array" ref="F992">_xlfn.XLOOKUP(C992,customers!A$1:$A$1001,customers!$B$1:$B$1001,0)</f>
        <v>Marguerite Graves</v>
      </c>
      <c r="G992" s="2" t="str">
        <f>IF(_xlfn.XLOOKUP(C992,customers!$A$1:$A$1001,customers!$C$1:$C$1001,0)=0,"",_xlfn.XLOOKUP(C992,customers!$A$1:$A$1001,customers!$C$1:$C$1001))</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6">
        <f>INDEX(products!$A$1:$G$49,MATCH(orders!$D992,products!$A$1:$A$49,0),MATCH(orders!L$1,products!$A$1:$G$1,0))</f>
        <v>3.645</v>
      </c>
      <c r="M992" s="6">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cm="1">
        <f t="array" ref="F993">_xlfn.XLOOKUP(C993,customers!A$1:$A$1001,customers!$B$1:$B$1001,0)</f>
        <v>Marguerite Graves</v>
      </c>
      <c r="G993" s="2" t="str">
        <f>IF(_xlfn.XLOOKUP(C993,customers!$A$1:$A$1001,customers!$C$1:$C$1001,0)=0,"",_xlfn.XLOOKUP(C993,customers!$A$1:$A$1001,customers!$C$1:$C$1001))</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6">
        <f>INDEX(products!$A$1:$G$49,MATCH(orders!$D993,products!$A$1:$A$49,0),MATCH(orders!L$1,products!$A$1:$G$1,0))</f>
        <v>7.77</v>
      </c>
      <c r="M993" s="6">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cm="1">
        <f t="array" ref="F994">_xlfn.XLOOKUP(C994,customers!A$1:$A$1001,customers!$B$1:$B$1001,0)</f>
        <v>Desdemona Eye</v>
      </c>
      <c r="G994" s="2" t="str">
        <f>IF(_xlfn.XLOOKUP(C994,customers!$A$1:$A$1001,customers!$C$1:$C$1001,0)=0,"",_xlfn.XLOOKUP(C994,customers!$A$1:$A$1001,customers!$C$1:$C$1001))</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6">
        <f>INDEX(products!$A$1:$G$49,MATCH(orders!$D994,products!$A$1:$A$49,0),MATCH(orders!L$1,products!$A$1:$G$1,0))</f>
        <v>36.454999999999998</v>
      </c>
      <c r="M994" s="6">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cm="1">
        <f t="array" ref="F995">_xlfn.XLOOKUP(C995,customers!A$1:$A$1001,customers!$B$1:$B$1001,0)</f>
        <v>Margarette Sterland</v>
      </c>
      <c r="G995" s="2" t="str">
        <f>IF(_xlfn.XLOOKUP(C995,customers!$A$1:$A$1001,customers!$C$1:$C$1001,0)=0,"",_xlfn.XLOOKUP(C995,customers!$A$1:$A$1001,customers!$C$1:$C$1001))</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6">
        <f>INDEX(products!$A$1:$G$49,MATCH(orders!$D995,products!$A$1:$A$49,0),MATCH(orders!L$1,products!$A$1:$G$1,0))</f>
        <v>12.95</v>
      </c>
      <c r="M995" s="6">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cm="1">
        <f t="array" ref="F996">_xlfn.XLOOKUP(C996,customers!A$1:$A$1001,customers!$B$1:$B$1001,0)</f>
        <v>Catharine Scoines</v>
      </c>
      <c r="G996" s="2" t="str">
        <f>IF(_xlfn.XLOOKUP(C996,customers!$A$1:$A$1001,customers!$C$1:$C$1001,0)=0,"",_xlfn.XLOOKUP(C996,customers!$A$1:$A$1001,customers!$C$1:$C$1001))</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6">
        <f>INDEX(products!$A$1:$G$49,MATCH(orders!$D996,products!$A$1:$A$49,0),MATCH(orders!L$1,products!$A$1:$G$1,0))</f>
        <v>2.9849999999999999</v>
      </c>
      <c r="M996" s="6">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cm="1">
        <f t="array" ref="F997">_xlfn.XLOOKUP(C997,customers!A$1:$A$1001,customers!$B$1:$B$1001,0)</f>
        <v>Jennica Tewelson</v>
      </c>
      <c r="G997" s="2" t="str">
        <f>IF(_xlfn.XLOOKUP(C997,customers!$A$1:$A$1001,customers!$C$1:$C$1001,0)=0,"",_xlfn.XLOOKUP(C997,customers!$A$1:$A$1001,customers!$C$1:$C$1001))</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6">
        <f>INDEX(products!$A$1:$G$49,MATCH(orders!$D997,products!$A$1:$A$49,0),MATCH(orders!L$1,products!$A$1:$G$1,0))</f>
        <v>27.484999999999996</v>
      </c>
      <c r="M997" s="6">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cm="1">
        <f t="array" ref="F998">_xlfn.XLOOKUP(C998,customers!A$1:$A$1001,customers!$B$1:$B$1001,0)</f>
        <v>Marguerite Graves</v>
      </c>
      <c r="G998" s="2" t="str">
        <f>IF(_xlfn.XLOOKUP(C998,customers!$A$1:$A$1001,customers!$C$1:$C$1001,0)=0,"",_xlfn.XLOOKUP(C998,customers!$A$1:$A$1001,customers!$C$1:$C$1001))</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6">
        <f>INDEX(products!$A$1:$G$49,MATCH(orders!$D998,products!$A$1:$A$49,0),MATCH(orders!L$1,products!$A$1:$G$1,0))</f>
        <v>5.97</v>
      </c>
      <c r="M998" s="6">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cm="1">
        <f t="array" ref="F999">_xlfn.XLOOKUP(C999,customers!A$1:$A$1001,customers!$B$1:$B$1001,0)</f>
        <v>Marguerite Graves</v>
      </c>
      <c r="G999" s="2" t="str">
        <f>IF(_xlfn.XLOOKUP(C999,customers!$A$1:$A$1001,customers!$C$1:$C$1001,0)=0,"",_xlfn.XLOOKUP(C999,customers!$A$1:$A$1001,customers!$C$1:$C$1001))</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6">
        <f>INDEX(products!$A$1:$G$49,MATCH(orders!$D999,products!$A$1:$A$49,0),MATCH(orders!L$1,products!$A$1:$G$1,0))</f>
        <v>6.75</v>
      </c>
      <c r="M999" s="6">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cm="1">
        <f t="array" ref="F1000">_xlfn.XLOOKUP(C1000,customers!A$1:$A$1001,customers!$B$1:$B$1001,0)</f>
        <v>Nicolina Jenny</v>
      </c>
      <c r="G1000" s="2" t="str">
        <f>IF(_xlfn.XLOOKUP(C1000,customers!$A$1:$A$1001,customers!$C$1:$C$1001,0)=0,"",_xlfn.XLOOKUP(C1000,customers!$A$1:$A$1001,customers!$C$1:$C$1001))</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6">
        <f>INDEX(products!$A$1:$G$49,MATCH(orders!$D1000,products!$A$1:$A$49,0),MATCH(orders!L$1,products!$A$1:$G$1,0))</f>
        <v>9.9499999999999993</v>
      </c>
      <c r="M1000" s="6">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cm="1">
        <f t="array" ref="F1001">_xlfn.XLOOKUP(C1001,customers!A$1:$A$1001,customers!$B$1:$B$1001,0)</f>
        <v>Vidovic Antonelli</v>
      </c>
      <c r="G1001" s="2" t="str">
        <f>IF(_xlfn.XLOOKUP(C1001,customers!$A$1:$A$1001,customers!$C$1:$C$1001,0)=0,"",_xlfn.XLOOKUP(C1001,customers!$A$1:$A$1001,customers!$C$1:$C$1001))</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6">
        <f>INDEX(products!$A$1:$G$49,MATCH(orders!$D1001,products!$A$1:$A$49,0),MATCH(orders!L$1,products!$A$1:$G$1,0))</f>
        <v>4.125</v>
      </c>
      <c r="M1001" s="6">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0" workbookViewId="0">
      <selection sqref="A1:A1048576"/>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18"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BBE75-7F62-4747-BDD9-A3E9D57C36C3}">
  <dimension ref="A3:B11"/>
  <sheetViews>
    <sheetView workbookViewId="0">
      <selection activeCell="B3" sqref="B3"/>
    </sheetView>
  </sheetViews>
  <sheetFormatPr defaultRowHeight="14.4" x14ac:dyDescent="0.3"/>
  <cols>
    <col min="1" max="1" width="16.88671875" bestFit="1" customWidth="1"/>
    <col min="2" max="3" width="11.6640625" bestFit="1" customWidth="1"/>
    <col min="4" max="4" width="7" bestFit="1" customWidth="1"/>
    <col min="5" max="5" width="7.44140625" bestFit="1" customWidth="1"/>
    <col min="6" max="6" width="7.88671875" bestFit="1" customWidth="1"/>
  </cols>
  <sheetData>
    <row r="3" spans="1:2" x14ac:dyDescent="0.3">
      <c r="A3" s="7" t="s">
        <v>4</v>
      </c>
      <c r="B3" t="s">
        <v>6218</v>
      </c>
    </row>
    <row r="4" spans="1:2" x14ac:dyDescent="0.3">
      <c r="A4" t="s">
        <v>1472</v>
      </c>
      <c r="B4" s="9">
        <v>204.92999999999995</v>
      </c>
    </row>
    <row r="5" spans="1:2" x14ac:dyDescent="0.3">
      <c r="A5" t="s">
        <v>2454</v>
      </c>
      <c r="B5" s="9">
        <v>204.92999999999995</v>
      </c>
    </row>
    <row r="6" spans="1:2" x14ac:dyDescent="0.3">
      <c r="A6" t="s">
        <v>2177</v>
      </c>
      <c r="B6" s="9">
        <v>204.92999999999995</v>
      </c>
    </row>
    <row r="7" spans="1:2" x14ac:dyDescent="0.3">
      <c r="A7" t="s">
        <v>3820</v>
      </c>
      <c r="B7" s="9">
        <v>204.92999999999995</v>
      </c>
    </row>
    <row r="8" spans="1:2" x14ac:dyDescent="0.3">
      <c r="A8" t="s">
        <v>2275</v>
      </c>
      <c r="B8" s="9">
        <v>204.92999999999995</v>
      </c>
    </row>
    <row r="9" spans="1:2" x14ac:dyDescent="0.3">
      <c r="A9" t="s">
        <v>3753</v>
      </c>
      <c r="B9" s="9">
        <v>219.81</v>
      </c>
    </row>
    <row r="10" spans="1:2" x14ac:dyDescent="0.3">
      <c r="A10" t="s">
        <v>5114</v>
      </c>
      <c r="B10" s="9">
        <v>237.81999999999996</v>
      </c>
    </row>
    <row r="11" spans="1:2" x14ac:dyDescent="0.3">
      <c r="A11" t="s">
        <v>5765</v>
      </c>
      <c r="B11" s="9">
        <v>248.36499999999995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C3FD0-3A1E-494E-AA75-81049B613181}">
  <dimension ref="A1"/>
  <sheetViews>
    <sheetView showGridLines="0" showRowColHeaders="0" tabSelected="1" zoomScale="96" zoomScaleNormal="96" workbookViewId="0">
      <selection activeCell="AB42" sqref="AB41:AD42"/>
    </sheetView>
  </sheetViews>
  <sheetFormatPr defaultRowHeight="14.4" x14ac:dyDescent="0.3"/>
  <cols>
    <col min="1" max="1" width="1.77734375" customWidth="1"/>
  </cols>
  <sheetData>
    <row r="1" ht="4.95" customHeight="1" x14ac:dyDescent="0.3"/>
  </sheetData>
  <pageMargins left="0.7" right="0.7" top="0.75" bottom="0.75" header="0.3" footer="0.3"/>
  <pageSetup orientation="portrait" horizontalDpi="4294967293"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CountryBarChart</vt:lpstr>
      <vt:lpstr>Total Sales</vt:lpstr>
      <vt:lpstr>orders</vt:lpstr>
      <vt:lpstr>customers</vt:lpstr>
      <vt:lpstr>products</vt:lpstr>
      <vt:lpstr>Top 5 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Javeria Fatima</cp:lastModifiedBy>
  <cp:revision/>
  <dcterms:created xsi:type="dcterms:W3CDTF">2022-11-26T09:51:45Z</dcterms:created>
  <dcterms:modified xsi:type="dcterms:W3CDTF">2025-10-29T06:52:47Z</dcterms:modified>
  <cp:category/>
  <cp:contentStatus/>
</cp:coreProperties>
</file>